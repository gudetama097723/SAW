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ソードスキル一覧" sheetId="2" state="visible" r:id="rId4"/>
    <sheet name="カテゴリ別サマリ" sheetId="3" state="visible" r:id="rId5"/>
    <sheet name="想定武器カテゴリ" sheetId="4" state="visible" r:id="rId6"/>
    <sheet name="ゲーム出典スキル" sheetId="5" state="visible" r:id="rId7"/>
  </sheets>
  <definedNames>
    <definedName function="false" hidden="true" localSheetId="4" name="_xlnm._FilterDatabase" vbProcedure="false">ゲーム出典スキル!$A$1:$I$172</definedName>
    <definedName function="false" hidden="true" localSheetId="1" name="_xlnm._FilterDatabase" vbProcedure="false">ソードスキル一覧!$A$1:$J$186</definedName>
    <definedName function="false" hidden="true" localSheetId="3" name="_xlnm._FilterDatabase" vbProcedure="false">想定武器カテゴリ!$A$2:$G$46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<sst xmlns="http://schemas.openxmlformats.org/spreadsheetml/2006/main" count="3090" uniqueCount="1051">
  <si>
    <r>
      <rPr>
        <b val="true"/>
        <sz val="14"/>
        <color rgb="FF1F4E79"/>
        <rFont val="Arial"/>
        <family val="0"/>
        <charset val="1"/>
      </rPr>
      <t xml:space="preserve">SAO </t>
    </r>
    <r>
      <rPr>
        <b val="true"/>
        <sz val="14"/>
        <color rgb="FF1F4E79"/>
        <rFont val="Noto Sans CJK SC"/>
        <family val="2"/>
      </rPr>
      <t xml:space="preserve">ソードスキル一覧</t>
    </r>
    <r>
      <rPr>
        <b val="true"/>
        <sz val="14"/>
        <color rgb="FF1F4E79"/>
        <rFont val="Arial"/>
        <family val="0"/>
        <charset val="1"/>
      </rPr>
      <t xml:space="preserve">(</t>
    </r>
    <r>
      <rPr>
        <b val="true"/>
        <sz val="14"/>
        <color rgb="FF1F4E79"/>
        <rFont val="Noto Sans CJK SC"/>
        <family val="2"/>
      </rPr>
      <t xml:space="preserve">原作準拠</t>
    </r>
    <r>
      <rPr>
        <b val="true"/>
        <sz val="14"/>
        <color rgb="FF1F4E79"/>
        <rFont val="Arial"/>
        <family val="0"/>
        <charset val="1"/>
      </rPr>
      <t xml:space="preserve">)</t>
    </r>
  </si>
  <si>
    <t xml:space="preserve">目的</t>
  </si>
  <si>
    <r>
      <rPr>
        <sz val="10"/>
        <rFont val="Arial"/>
        <family val="0"/>
        <charset val="1"/>
      </rPr>
      <t xml:space="preserve">SAW</t>
    </r>
    <r>
      <rPr>
        <sz val="10"/>
        <rFont val="Noto Sans CJK SC"/>
        <family val="2"/>
      </rPr>
      <t xml:space="preserve">制作の参考資料として、</t>
    </r>
    <r>
      <rPr>
        <sz val="10"/>
        <rFont val="Arial"/>
        <family val="0"/>
        <charset val="1"/>
      </rPr>
      <t xml:space="preserve">SAO</t>
    </r>
    <r>
      <rPr>
        <sz val="10"/>
        <rFont val="Noto Sans CJK SC"/>
        <family val="2"/>
      </rPr>
      <t xml:space="preserve">原作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旧アインクラッド編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プログレッシブ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に登場するソードスキルを武器カテゴリ別に整理したもの。</t>
    </r>
  </si>
  <si>
    <t xml:space="preserve">対象範囲</t>
  </si>
  <si>
    <t xml:space="preserve">旧アインクラッド編(原作1・2巻ほか)+ソードアート・オンライン プログレッシブ(1〜7巻)。ALO以降・UW初出の技も、SAO由来設定のものは参考として収録し「範囲判定」列で区別。</t>
  </si>
  <si>
    <t xml:space="preserve">主な出典</t>
  </si>
  <si>
    <t xml:space="preserve">原作小説各巻、SAOプログレッシブ、マテリアル・エディション(同人設定資料)、SAO Wiki(swordartonline.fandom.com)の巻数照合。</t>
  </si>
  <si>
    <t xml:space="preserve">範囲判定の凡例</t>
  </si>
  <si>
    <t xml:space="preserve">緑=旧SAO本編/プログレッシブに登場。青=プログレッシブ初出。黄=ALO以降初出(SAO由来とされる技を含む)。橙=ALO限定・UW初出・コラボ等の参考掲載。灰=設定資料のみ。</t>
  </si>
  <si>
    <t xml:space="preserve">ヒット数「-」</t>
  </si>
  <si>
    <t xml:space="preserve">連撃数が不明、または防御・特殊技でヒット数の概念がないもの。</t>
  </si>
  <si>
    <t xml:space="preserve">注意</t>
  </si>
  <si>
    <t xml:space="preserve">ヒット数・挙動は原作描写ベース。ゲーム版(ホロフラ等)の数値とは異なる場合がある。属性配分(物理◯%など)は新生ALO移植後の仕様。</t>
  </si>
  <si>
    <t xml:space="preserve">ゲーム出典シート</t>
  </si>
  <si>
    <t xml:space="preserve">「ゲーム出典スキル」シートに、ゲーム版のソードスキルを出典明記のうえ収録。数値(SP・補正・ATK%等)は各ゲームのバランス上の仕様であり、原作設定と混同しないこと。</t>
  </si>
  <si>
    <t xml:space="preserve">収録ゲーム</t>
  </si>
  <si>
    <t xml:space="preserve">①ホロウ・フラグメント(PS Vita/2014、インフィニティ・モーメントの拡張移植。アインクラッド76〜100層が舞台) ②エコーズ オブ アインクラッド(2026、アインクラッド再構築。両手斧の一部は攻略情報未更新)。</t>
  </si>
  <si>
    <t xml:space="preserve">原作との関係の凡例</t>
  </si>
  <si>
    <t xml:space="preserve">緑=原作にも登場(名称・概念が一致)。黄=原作技のアレンジ(ヒット数・挙動・カテゴリが原作と相違)。橙=ゲームオリジナル技。</t>
  </si>
  <si>
    <t xml:space="preserve">統合一覧の並び順</t>
  </si>
  <si>
    <t xml:space="preserve">「ソードスキル一覧」は原作技とゲームオリジナル技を統合し、各カテゴリ内を推定習得可能熟練度(1〜1000)の昇順=習得順で表示。ゲームオリジナル技はスキル名を紫字、範囲判定「ゲーム出典」(紫)で区別。</t>
  </si>
  <si>
    <t xml:space="preserve">習得可能熟練度の推定基準</t>
  </si>
  <si>
    <t xml:space="preserve">原作の武器スキル熟練度0〜1000の設定に準拠した独自推定値。①原作で最初に覚える技(リニアー等)=1 ②基本単発技=1〜100 ③2連撃=100〜250 ④3連撃=250〜450 ⑤4連撃・重単発=400〜600 ⑥5〜6連撃=550〜700 ⑦7〜8連撃=700〜900 ⑧9連撃以上・奥義級=850〜1000。突進・範囲・特殊効果は同格から±50調整。作中の登場時期・「上級」「最上位」等の記述を優先。ゲーム内の習得レベルは採用しない。</t>
  </si>
  <si>
    <t xml:space="preserve">熟練度の注意</t>
  </si>
  <si>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体術・刀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とユニークスキル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二刀流・神聖剣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は取得自体に特殊条件があり、数値は「そのスキル自体の熟練度」内での解禁目安。複合スキルは複数スキルの熟練度を要求する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備考参照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</si>
  <si>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想定武器カテゴリ</t>
  </si>
  <si>
    <r>
      <rPr>
        <sz val="10"/>
        <rFont val="Noto Sans CJK SC"/>
        <family val="2"/>
      </rPr>
      <t xml:space="preserve">「想定武器カテゴリ」シートに、原作確認済みの武器スキル全種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原作で示唆されるもの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現実の武器体系からの推定カテゴリを収録。ユニークスキル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二刀流・手裏剣術・無限槍・抜刀術・会心撃・暗黒剣・神聖剣の全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種中判明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種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は武器カテゴリとは別軸のため確度欄と備考で扱いを明記。</t>
    </r>
  </si>
  <si>
    <t xml:space="preserve">武器カテゴリ</t>
  </si>
  <si>
    <t xml:space="preserve">習得可能熟練度(推定)</t>
  </si>
  <si>
    <t xml:space="preserve">スキル名</t>
  </si>
  <si>
    <t xml:space="preserve">英名</t>
  </si>
  <si>
    <t xml:space="preserve">ヒット数</t>
  </si>
  <si>
    <t xml:space="preserve">タイプ</t>
  </si>
  <si>
    <t xml:space="preserve">モーション・挙動</t>
  </si>
  <si>
    <t xml:space="preserve">出典</t>
  </si>
  <si>
    <t xml:space="preserve">範囲判定</t>
  </si>
  <si>
    <t xml:space="preserve">備考</t>
  </si>
  <si>
    <t xml:space="preserve">片手直剣</t>
  </si>
  <si>
    <t xml:space="preserve">バーチカル</t>
  </si>
  <si>
    <t xml:space="preserve">Vertical</t>
  </si>
  <si>
    <t xml:space="preserve">1</t>
  </si>
  <si>
    <t xml:space="preserve">斬(縦)</t>
  </si>
  <si>
    <t xml:space="preserve">垂直に振り下ろす基本斬撃。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</si>
  <si>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プログレッシブ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巻</t>
    </r>
  </si>
  <si>
    <t xml:space="preserve">旧SAO/Prog</t>
  </si>
  <si>
    <t xml:space="preserve">ホリゾンタル</t>
  </si>
  <si>
    <t xml:space="preserve">Horizontal</t>
  </si>
  <si>
    <t xml:space="preserve">斬(横)</t>
  </si>
  <si>
    <t xml:space="preserve">水平に薙ぐ基本斬撃。</t>
  </si>
  <si>
    <t xml:space="preserve">スラント</t>
  </si>
  <si>
    <t xml:space="preserve">Slant</t>
  </si>
  <si>
    <t xml:space="preserve">斬(斜)</t>
  </si>
  <si>
    <t xml:space="preserve">斜めに斬り下ろす基本斬撃。</t>
  </si>
  <si>
    <t xml:space="preserve">上段斬り(アッパーカット)</t>
  </si>
  <si>
    <t xml:space="preserve">Uppercut</t>
  </si>
  <si>
    <t xml:space="preserve">斬(斬上)</t>
  </si>
  <si>
    <t xml:space="preserve">下から斬り上げる単発技。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</si>
  <si>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章</t>
    </r>
  </si>
  <si>
    <t xml:space="preserve">旧SAO</t>
  </si>
  <si>
    <t xml:space="preserve">レイジ・スパイク</t>
  </si>
  <si>
    <t xml:space="preserve">Rage Spike</t>
  </si>
  <si>
    <t xml:space="preserve">突進</t>
  </si>
  <si>
    <t xml:space="preserve">敵に跳びかかり斬り上げる基本突進技。射程約10m。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</si>
  <si>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プログレッシブ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</si>
  <si>
    <t xml:space="preserve">威力は低め。</t>
  </si>
  <si>
    <t xml:space="preserve">ソニック・リープ</t>
  </si>
  <si>
    <t xml:space="preserve">Sonic Leap</t>
  </si>
  <si>
    <t xml:space="preserve">突進して打ち下ろす突進斬撃。</t>
  </si>
  <si>
    <t xml:space="preserve">プログレッシブ3巻</t>
  </si>
  <si>
    <t xml:space="preserve">ブレイクリフター</t>
  </si>
  <si>
    <t xml:space="preserve">-</t>
  </si>
  <si>
    <t xml:space="preserve">突</t>
  </si>
  <si>
    <t xml:space="preserve">素早い刺突+ノックバック。</t>
  </si>
  <si>
    <t xml:space="preserve">ゲーム(EoA)</t>
  </si>
  <si>
    <t xml:space="preserve">ゲーム出典</t>
  </si>
  <si>
    <t xml:space="preserve">バーチカル・アーク</t>
  </si>
  <si>
    <t xml:space="preserve">Vertical Arc</t>
  </si>
  <si>
    <t xml:space="preserve">2</t>
  </si>
  <si>
    <t xml:space="preserve">斬</t>
  </si>
  <si>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字の軌道を描く二連撃。</t>
    </r>
  </si>
  <si>
    <t xml:space="preserve">プログレッシブ1巻 / 10巻</t>
  </si>
  <si>
    <t xml:space="preserve">ホリゾンタル・アーク</t>
  </si>
  <si>
    <t xml:space="preserve">Horizontal Arc</t>
  </si>
  <si>
    <t xml:space="preserve">左→右、返しで右→左の水平二連撃。</t>
  </si>
  <si>
    <t xml:space="preserve">プログレッシブ2巻</t>
  </si>
  <si>
    <t xml:space="preserve">Prog</t>
  </si>
  <si>
    <t xml:space="preserve">セレーション・ウェーブ</t>
  </si>
  <si>
    <t xml:space="preserve">Serration Wave</t>
  </si>
  <si>
    <t xml:space="preserve">範囲</t>
  </si>
  <si>
    <t xml:space="preserve">移動阻害目的の単発AOE。ダメージ極小。</t>
  </si>
  <si>
    <r>
      <rPr>
        <sz val="10"/>
        <rFont val="Arial"/>
        <family val="0"/>
        <charset val="1"/>
      </rPr>
      <t xml:space="preserve">The Day Before(</t>
    </r>
    <r>
      <rPr>
        <sz val="10"/>
        <rFont val="Noto Sans CJK SC"/>
        <family val="2"/>
      </rPr>
      <t xml:space="preserve">外伝</t>
    </r>
    <r>
      <rPr>
        <sz val="10"/>
        <rFont val="Arial"/>
        <family val="0"/>
        <charset val="1"/>
      </rPr>
      <t xml:space="preserve">)</t>
    </r>
  </si>
  <si>
    <t xml:space="preserve">スネーク・バイト</t>
  </si>
  <si>
    <t xml:space="preserve">Snake Bite</t>
  </si>
  <si>
    <t xml:space="preserve">左右連続の振りで相手の武器を狙う。確率で武器破壊。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</si>
  <si>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巻</t>
    </r>
  </si>
  <si>
    <r>
      <rPr>
        <sz val="10"/>
        <rFont val="Arial"/>
        <family val="0"/>
        <charset val="1"/>
      </rPr>
      <t xml:space="preserve">ALO</t>
    </r>
    <r>
      <rPr>
        <sz val="10"/>
        <rFont val="Noto Sans CJK SC"/>
        <family val="2"/>
      </rPr>
      <t xml:space="preserve">以降初出</t>
    </r>
  </si>
  <si>
    <t xml:space="preserve">レイジインパクト</t>
  </si>
  <si>
    <t xml:space="preserve">素早い突進からの中範囲強斬撃。</t>
  </si>
  <si>
    <t xml:space="preserve">シャープ・ネイル</t>
  </si>
  <si>
    <t xml:space="preserve">Sharp Nail</t>
  </si>
  <si>
    <t xml:space="preserve">3</t>
  </si>
  <si>
    <t xml:space="preserve">斜め斬上→水平→斜め斬下の三連撃。</t>
  </si>
  <si>
    <t xml:space="preserve">プログレッシブ2巻・3巻</t>
  </si>
  <si>
    <t xml:space="preserve">サベージ・フルクラム</t>
  </si>
  <si>
    <t xml:space="preserve">Savage Fulcrum</t>
  </si>
  <si>
    <t xml:space="preserve">数字の「4」を描く軌道の三連撃。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</si>
  <si>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巻</t>
    </r>
  </si>
  <si>
    <t xml:space="preserve">バーチカル・スクエア</t>
  </si>
  <si>
    <t xml:space="preserve">Vertical Square</t>
  </si>
  <si>
    <t xml:space="preserve">4</t>
  </si>
  <si>
    <t xml:space="preserve">正方形の軌道を描く中級四連撃。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</si>
  <si>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章</t>
    </r>
  </si>
  <si>
    <t xml:space="preserve">ホリゾンタル・スクエア</t>
  </si>
  <si>
    <t xml:space="preserve">Horizontal Square</t>
  </si>
  <si>
    <t xml:space="preserve">菱形の軌道を描く中級四連撃。</t>
  </si>
  <si>
    <t xml:space="preserve">ヴォーパル・ストライク</t>
  </si>
  <si>
    <t xml:space="preserve">Vorpal Strike</t>
  </si>
  <si>
    <t xml:space="preserve">刃渡り2倍リーチの高威力重突き。クールタイム長。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</si>
  <si>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巻</t>
    </r>
  </si>
  <si>
    <t xml:space="preserve">スター・Q・プロミネンス</t>
  </si>
  <si>
    <t xml:space="preserve">6</t>
  </si>
  <si>
    <t xml:space="preserve">六連突き(ダブルATK)。</t>
  </si>
  <si>
    <t xml:space="preserve">ゲーム(HF)</t>
  </si>
  <si>
    <t xml:space="preserve">カーネージ・アライアンス</t>
  </si>
  <si>
    <t xml:space="preserve">六連撃+PT支援効果。</t>
  </si>
  <si>
    <t xml:space="preserve">実装エレメント調査で解放。</t>
  </si>
  <si>
    <t xml:space="preserve">デッドリー・シンズ</t>
  </si>
  <si>
    <t xml:space="preserve">Deadly Sins</t>
  </si>
  <si>
    <t xml:space="preserve">7</t>
  </si>
  <si>
    <t xml:space="preserve">多様な斬撃+全周回転+後方宙返りの七連撃。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</si>
  <si>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巻</t>
    </r>
  </si>
  <si>
    <t xml:space="preserve">ハウリング・オクターブ</t>
  </si>
  <si>
    <t xml:space="preserve">Howling Octave</t>
  </si>
  <si>
    <t xml:space="preserve">8</t>
  </si>
  <si>
    <t xml:space="preserve">突+斬</t>
  </si>
  <si>
    <t xml:space="preserve">高速五連突き→斬下→斬上→全力打ち下ろしの八連撃。</t>
  </si>
  <si>
    <t xml:space="preserve">旧SAO由来(初出はALO)</t>
  </si>
  <si>
    <t xml:space="preserve">ライトニング・フォール</t>
  </si>
  <si>
    <t xml:space="preserve">Lightning Fall</t>
  </si>
  <si>
    <t xml:space="preserve">跳躍から剣を地面へ突き立て全方位に電撃を放つ重範囲技。</t>
  </si>
  <si>
    <r>
      <rPr>
        <sz val="10"/>
        <rFont val="Arial"/>
        <family val="0"/>
        <charset val="1"/>
      </rPr>
      <t xml:space="preserve">ALO</t>
    </r>
    <r>
      <rPr>
        <sz val="10"/>
        <rFont val="Noto Sans CJK SC"/>
        <family val="2"/>
      </rPr>
      <t xml:space="preserve">限定</t>
    </r>
  </si>
  <si>
    <t xml:space="preserve">参考掲載。</t>
  </si>
  <si>
    <t xml:space="preserve">ファントム・レイブ</t>
  </si>
  <si>
    <t xml:space="preserve">高速六連撃の奥義級スキル。</t>
  </si>
  <si>
    <t xml:space="preserve">ノヴァ・アセンション</t>
  </si>
  <si>
    <t xml:space="preserve">Nova Ascension</t>
  </si>
  <si>
    <t xml:space="preserve">10</t>
  </si>
  <si>
    <t xml:space="preserve">連撃</t>
  </si>
  <si>
    <t xml:space="preserve">片手直剣カテゴリ最上位級の十連撃。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</si>
  <si>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巻</t>
    </r>
  </si>
  <si>
    <r>
      <rPr>
        <sz val="10"/>
        <rFont val="Arial"/>
        <family val="0"/>
        <charset val="1"/>
      </rPr>
      <t xml:space="preserve">UW</t>
    </r>
    <r>
      <rPr>
        <sz val="10"/>
        <rFont val="Noto Sans CJK SC"/>
        <family val="2"/>
      </rPr>
      <t xml:space="preserve">初出</t>
    </r>
  </si>
  <si>
    <t xml:space="preserve">曲刀</t>
  </si>
  <si>
    <t xml:space="preserve">リーバー</t>
  </si>
  <si>
    <t xml:space="preserve">Reaver</t>
  </si>
  <si>
    <t xml:space="preserve">曲刀の基本単発技。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</si>
  <si>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章</t>
    </r>
  </si>
  <si>
    <t xml:space="preserve">デス・クリープ</t>
  </si>
  <si>
    <t xml:space="preserve">高威力の単発範囲斬撃。</t>
  </si>
  <si>
    <t xml:space="preserve">フェル・クレセント</t>
  </si>
  <si>
    <t xml:space="preserve">Fell Crescent</t>
  </si>
  <si>
    <r>
      <rPr>
        <sz val="10"/>
        <rFont val="Arial"/>
        <family val="0"/>
        <charset val="1"/>
      </rPr>
      <t xml:space="preserve">0.4</t>
    </r>
    <r>
      <rPr>
        <sz val="10"/>
        <rFont val="Noto Sans CJK SC"/>
        <family val="2"/>
      </rPr>
      <t xml:space="preserve">秒で</t>
    </r>
    <r>
      <rPr>
        <sz val="10"/>
        <rFont val="Arial"/>
        <family val="0"/>
        <charset val="1"/>
      </rPr>
      <t xml:space="preserve">4m</t>
    </r>
    <r>
      <rPr>
        <sz val="10"/>
        <rFont val="Noto Sans CJK SC"/>
        <family val="2"/>
      </rPr>
      <t xml:space="preserve">を踏み込み打ち下ろす上級突進技。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</si>
  <si>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アリア</t>
    </r>
    <r>
      <rPr>
        <sz val="10"/>
        <rFont val="Arial"/>
        <family val="0"/>
        <charset val="1"/>
      </rPr>
      <t xml:space="preserve">)</t>
    </r>
  </si>
  <si>
    <t xml:space="preserve">オーバル・クレセント</t>
  </si>
  <si>
    <t xml:space="preserve">楕円軌道の三連範囲斬撃。</t>
  </si>
  <si>
    <t xml:space="preserve">ファラント・フルムーン</t>
  </si>
  <si>
    <t xml:space="preserve">円月軌道の四連撃。</t>
  </si>
  <si>
    <t xml:space="preserve">レイジング・チョッパー</t>
  </si>
  <si>
    <t xml:space="preserve">高命中の四連斬撃。</t>
  </si>
  <si>
    <t xml:space="preserve">ミリー・スラッシュ</t>
  </si>
  <si>
    <t xml:space="preserve">重い四連斬撃。</t>
  </si>
  <si>
    <t xml:space="preserve">ベア・ノック</t>
  </si>
  <si>
    <t xml:space="preserve">打</t>
  </si>
  <si>
    <t xml:space="preserve">範囲を薙ぐ重打撃四連。</t>
  </si>
  <si>
    <t xml:space="preserve">ダンシング・ヘルレイザー</t>
  </si>
  <si>
    <t xml:space="preserve">舞うような高速四連撃。</t>
  </si>
  <si>
    <t xml:space="preserve">スラッシング・レイ</t>
  </si>
  <si>
    <t xml:space="preserve">Slashing Ray</t>
  </si>
  <si>
    <t xml:space="preserve">曲刀の上級技。詳細描写少。</t>
  </si>
  <si>
    <t xml:space="preserve">プログレッシブ7巻</t>
  </si>
  <si>
    <t xml:space="preserve">マーサクル・リッパー</t>
  </si>
  <si>
    <t xml:space="preserve">リスク低減効果を持つ四連撃。</t>
  </si>
  <si>
    <t xml:space="preserve">レギオン・デストロイヤー</t>
  </si>
  <si>
    <t xml:space="preserve">七連撃の奥義級スキル。</t>
  </si>
  <si>
    <t xml:space="preserve">短剣</t>
  </si>
  <si>
    <t xml:space="preserve">ウィップスナップ</t>
  </si>
  <si>
    <t xml:space="preserve">後退しながらの斬撃。</t>
  </si>
  <si>
    <t xml:space="preserve">ケイナイン</t>
  </si>
  <si>
    <t xml:space="preserve">Canine</t>
  </si>
  <si>
    <t xml:space="preserve">斬り上げるような上方向への突き。</t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</si>
  <si>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巻</t>
    </r>
  </si>
  <si>
    <t xml:space="preserve">サイド・バイト</t>
  </si>
  <si>
    <t xml:space="preserve">左右からの二連撃。</t>
  </si>
  <si>
    <t xml:space="preserve">ラピッド・バイト</t>
  </si>
  <si>
    <t xml:space="preserve">Rapid Bite</t>
  </si>
  <si>
    <t xml:space="preserve">中級の突進型短剣技。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</si>
  <si>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黒の剣士</t>
    </r>
    <r>
      <rPr>
        <sz val="10"/>
        <rFont val="Arial"/>
        <family val="0"/>
        <charset val="1"/>
      </rPr>
      <t xml:space="preserve">)</t>
    </r>
  </si>
  <si>
    <t xml:space="preserve">クロス・エッジ</t>
  </si>
  <si>
    <t xml:space="preserve">十字を描く二連撃。</t>
  </si>
  <si>
    <t xml:space="preserve">ラウンド・アクセル</t>
  </si>
  <si>
    <t xml:space="preserve">回り込みながらの二連範囲撃。</t>
  </si>
  <si>
    <t xml:space="preserve">ライトニングレイ</t>
  </si>
  <si>
    <t xml:space="preserve">素早い突進からの一撃。</t>
  </si>
  <si>
    <t xml:space="preserve">トライ・ピアース</t>
  </si>
  <si>
    <t xml:space="preserve">三連突き。</t>
  </si>
  <si>
    <t xml:space="preserve">シャドウ・ステッチ</t>
  </si>
  <si>
    <t xml:space="preserve">影を縫うような三連打(麻痺付与)。</t>
  </si>
  <si>
    <t xml:space="preserve">ファッド・エッジ</t>
  </si>
  <si>
    <t xml:space="preserve">Fad Edge</t>
  </si>
  <si>
    <t xml:space="preserve">高速四連撃(原作では詳細不明の技)。</t>
  </si>
  <si>
    <t xml:space="preserve">綴りは作者ツイートで言及。</t>
  </si>
  <si>
    <t xml:space="preserve">ストライクレイン</t>
  </si>
  <si>
    <t xml:space="preserve">5</t>
  </si>
  <si>
    <t xml:space="preserve">投擲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</si>
  <si>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本のナイフを投擲。</t>
    </r>
  </si>
  <si>
    <t xml:space="preserve">ホーネットスワーム</t>
  </si>
  <si>
    <t xml:space="preserve">最大3標的へのホーミング投擲。</t>
  </si>
  <si>
    <t xml:space="preserve">インフィニット</t>
  </si>
  <si>
    <t xml:space="preserve">重い五連突き。</t>
  </si>
  <si>
    <t xml:space="preserve">スパイラルライザー</t>
  </si>
  <si>
    <t xml:space="preserve">連</t>
  </si>
  <si>
    <t xml:space="preserve">跳び上がっての連続回転斬り。</t>
  </si>
  <si>
    <t xml:space="preserve">タービュランス</t>
  </si>
  <si>
    <t xml:space="preserve">移動可能な連続回転斬り。</t>
  </si>
  <si>
    <t xml:space="preserve">グラヴィティマグナム</t>
  </si>
  <si>
    <t xml:space="preserve">背面特効の四連突き。</t>
  </si>
  <si>
    <t xml:space="preserve">アクセル・レイド</t>
  </si>
  <si>
    <t xml:space="preserve">9</t>
  </si>
  <si>
    <t xml:space="preserve">超高速の九連撃。</t>
  </si>
  <si>
    <t xml:space="preserve">エターナル・サイクロン</t>
  </si>
  <si>
    <t xml:space="preserve">四連突きの奥義級スキル。</t>
  </si>
  <si>
    <t xml:space="preserve">細剣</t>
  </si>
  <si>
    <t xml:space="preserve">リニアー</t>
  </si>
  <si>
    <t xml:space="preserve">Linear</t>
  </si>
  <si>
    <t xml:space="preserve">一点を高速で突く、最初に覚える基本技。</t>
  </si>
  <si>
    <t xml:space="preserve">プログレッシブ1巻・3巻</t>
  </si>
  <si>
    <t xml:space="preserve">アスナの代名詞的スキル。</t>
  </si>
  <si>
    <t xml:space="preserve">ストリーク</t>
  </si>
  <si>
    <t xml:space="preserve">Streak</t>
  </si>
  <si>
    <t xml:space="preserve">斜めの基本斬撃。</t>
  </si>
  <si>
    <t xml:space="preserve">アヴォーヴ</t>
  </si>
  <si>
    <t xml:space="preserve">スタン付与の単発斬撃。</t>
  </si>
  <si>
    <r>
      <rPr>
        <sz val="10"/>
        <rFont val="Arial"/>
        <family val="0"/>
        <charset val="1"/>
      </rPr>
      <t xml:space="preserve">IM</t>
    </r>
    <r>
      <rPr>
        <sz val="10"/>
        <rFont val="Noto Sans CJK SC"/>
        <family val="2"/>
      </rPr>
      <t xml:space="preserve">由来。</t>
    </r>
  </si>
  <si>
    <t xml:space="preserve">オブリーク</t>
  </si>
  <si>
    <t xml:space="preserve">Oblique</t>
  </si>
  <si>
    <t xml:space="preserve">低い突き。短射程だが体重が乗り高威力。</t>
  </si>
  <si>
    <t xml:space="preserve">パイルステップ</t>
  </si>
  <si>
    <t xml:space="preserve">突進突き+後方ステップ。</t>
  </si>
  <si>
    <t xml:space="preserve">フォーリウム</t>
  </si>
  <si>
    <t xml:space="preserve">Folium</t>
  </si>
  <si>
    <t xml:space="preserve">筆記体「l」の軌道を描く斬り上げ。</t>
  </si>
  <si>
    <t xml:space="preserve">プログレッシブ5巻</t>
  </si>
  <si>
    <t xml:space="preserve">スウィープ</t>
  </si>
  <si>
    <t xml:space="preserve">薙ぎ払いの二連範囲撃。</t>
  </si>
  <si>
    <t xml:space="preserve">リップ・ラヴィーネ</t>
  </si>
  <si>
    <t xml:space="preserve">攻撃速度を削ぐ二連撃。</t>
  </si>
  <si>
    <t xml:space="preserve">パラレル・スティング</t>
  </si>
  <si>
    <t xml:space="preserve">Parallel Sting</t>
  </si>
  <si>
    <t xml:space="preserve">平行二連突き。</t>
  </si>
  <si>
    <t xml:space="preserve">プログレッシブ1巻・3巻・4巻</t>
  </si>
  <si>
    <t xml:space="preserve">ダイアゴナル・スティング</t>
  </si>
  <si>
    <t xml:space="preserve">Diagonal Sting</t>
  </si>
  <si>
    <t xml:space="preserve">舞踏的な予備動作から高低の二連突き。</t>
  </si>
  <si>
    <t xml:space="preserve">プログレッシブ4巻</t>
  </si>
  <si>
    <t xml:space="preserve">シューティング・スター</t>
  </si>
  <si>
    <t xml:space="preserve">Shooting Star</t>
  </si>
  <si>
    <t xml:space="preserve">空中でも使用可能な突進技。</t>
  </si>
  <si>
    <t xml:space="preserve">プログレッシブ1巻・5巻</t>
  </si>
  <si>
    <t xml:space="preserve">アクセル・スタブ</t>
  </si>
  <si>
    <t xml:space="preserve">加速する三連突き。</t>
  </si>
  <si>
    <t xml:space="preserve">ペネトレイト</t>
  </si>
  <si>
    <t xml:space="preserve">防御を削ぐ三連突き。</t>
  </si>
  <si>
    <t xml:space="preserve">トライアンギュラー</t>
  </si>
  <si>
    <t xml:space="preserve">Triangular</t>
  </si>
  <si>
    <t xml:space="preserve">強力な三連撃。</t>
  </si>
  <si>
    <t xml:space="preserve">プログレッシブ4巻・5巻</t>
  </si>
  <si>
    <t xml:space="preserve">デルタ・アタック</t>
  </si>
  <si>
    <t xml:space="preserve">三角軌道の範囲重攻撃。</t>
  </si>
  <si>
    <t xml:space="preserve">カドラプル・ペイン</t>
  </si>
  <si>
    <t xml:space="preserve">Quadruple Pain</t>
  </si>
  <si>
    <t xml:space="preserve">対象を拘束する高速四連突き。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</si>
  <si>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/ ME16</t>
    </r>
  </si>
  <si>
    <t xml:space="preserve">旧SAO由来</t>
  </si>
  <si>
    <t xml:space="preserve">ランブルホーン</t>
  </si>
  <si>
    <t xml:space="preserve">広範囲の四連突き。</t>
  </si>
  <si>
    <t xml:space="preserve">ファントムスラスト</t>
  </si>
  <si>
    <t xml:space="preserve">正面広範囲を高速で切り抜ける。</t>
  </si>
  <si>
    <t xml:space="preserve">スピカ・キャリバー</t>
  </si>
  <si>
    <t xml:space="preserve">重突進の五連撃。</t>
  </si>
  <si>
    <t xml:space="preserve">ニュートロン</t>
  </si>
  <si>
    <t xml:space="preserve">Neutron</t>
  </si>
  <si>
    <t xml:space="preserve">発動最速級の上位五連突き。</t>
  </si>
  <si>
    <t xml:space="preserve">フラッシング・ペネトレイター</t>
  </si>
  <si>
    <t xml:space="preserve">Flashing Penetrator</t>
  </si>
  <si>
    <t xml:space="preserve">ソニックブームを伴う彗星のような超高速突進。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</si>
  <si>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章</t>
    </r>
  </si>
  <si>
    <t xml:space="preserve">スター・スプラッシュ</t>
  </si>
  <si>
    <t xml:space="preserve">Star Splash</t>
  </si>
  <si>
    <t xml:space="preserve">上位の八連突き。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</si>
  <si>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巻</t>
    </r>
  </si>
  <si>
    <t xml:space="preserve">クルーシフィクション</t>
  </si>
  <si>
    <t xml:space="preserve">Crucifixion</t>
  </si>
  <si>
    <t xml:space="preserve">縦三連+横三連で十字を描く六連撃。</t>
  </si>
  <si>
    <t xml:space="preserve">ヴァルキリー・ナイツ</t>
  </si>
  <si>
    <t xml:space="preserve">多段多重の九連突き。</t>
  </si>
  <si>
    <t xml:space="preserve">オーバーラジェーション</t>
  </si>
  <si>
    <t xml:space="preserve">重い十連突き。</t>
  </si>
  <si>
    <t xml:space="preserve">両手剣</t>
  </si>
  <si>
    <t xml:space="preserve">カスケード</t>
  </si>
  <si>
    <t xml:space="preserve">Cascade</t>
  </si>
  <si>
    <t xml:space="preserve">頭上からの打ち下ろし。</t>
  </si>
  <si>
    <t xml:space="preserve">サイクロン</t>
  </si>
  <si>
    <t xml:space="preserve">Cyclone</t>
  </si>
  <si>
    <t xml:space="preserve">回転斬り。</t>
  </si>
  <si>
    <t xml:space="preserve">カタラクト</t>
  </si>
  <si>
    <t xml:space="preserve">Cataract</t>
  </si>
  <si>
    <t xml:space="preserve">二連撃。</t>
  </si>
  <si>
    <t xml:space="preserve">ブラスト</t>
  </si>
  <si>
    <t xml:space="preserve">全方位の二連範囲撃。</t>
  </si>
  <si>
    <t xml:space="preserve">ブレイブリープ</t>
  </si>
  <si>
    <t xml:space="preserve">跳躍→突き降ろし→衝撃波の三連。</t>
  </si>
  <si>
    <t xml:space="preserve">バックラッシュ</t>
  </si>
  <si>
    <t xml:space="preserve">Back Rush</t>
  </si>
  <si>
    <t xml:space="preserve">背後を取られた際に反転して放つカウンター。</t>
  </si>
  <si>
    <t xml:space="preserve">イラプション</t>
  </si>
  <si>
    <t xml:space="preserve">噴火のような二連範囲撃。</t>
  </si>
  <si>
    <t xml:space="preserve">テンペスト</t>
  </si>
  <si>
    <t xml:space="preserve">カウンター性能を持つ範囲斬撃。</t>
  </si>
  <si>
    <t xml:space="preserve">トーレント</t>
  </si>
  <si>
    <t xml:space="preserve">突進柄突き。溜めで切り上げ追撃。</t>
  </si>
  <si>
    <t xml:space="preserve">スコッピード</t>
  </si>
  <si>
    <t xml:space="preserve">三連の範囲打撃。</t>
  </si>
  <si>
    <t xml:space="preserve">ライトニング</t>
  </si>
  <si>
    <t xml:space="preserve">四連の範囲斬撃。</t>
  </si>
  <si>
    <t xml:space="preserve">ピアシングブラスト</t>
  </si>
  <si>
    <t xml:space="preserve">突進突きでホールド→追撃。</t>
  </si>
  <si>
    <t xml:space="preserve">アバランシュ</t>
  </si>
  <si>
    <t xml:space="preserve">Avalanche</t>
  </si>
  <si>
    <t xml:space="preserve">上段の構えから斬り下ろす上級の強斬撃。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</si>
  <si>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章</t>
    </r>
  </si>
  <si>
    <t xml:space="preserve">ブルータルファング</t>
  </si>
  <si>
    <t xml:space="preserve">広範囲の四連撃。</t>
  </si>
  <si>
    <t xml:space="preserve">ファイトブレイド</t>
  </si>
  <si>
    <t xml:space="preserve">六連の範囲打撃。</t>
  </si>
  <si>
    <t xml:space="preserve">アストラル・ヘル</t>
  </si>
  <si>
    <t xml:space="preserve">七連の範囲斬撃。</t>
  </si>
  <si>
    <t xml:space="preserve">バーチカル・バスター</t>
  </si>
  <si>
    <t xml:space="preserve">限界まで溜めた超威力の垂直斬り。</t>
  </si>
  <si>
    <t xml:space="preserve">ラストアーク・リベンジャー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</si>
  <si>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半減と引き換えの八連撃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吸収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</si>
  <si>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カラミティ・ディザスター</t>
  </si>
  <si>
    <t xml:space="preserve">六連撃の奥義級スキル。</t>
  </si>
  <si>
    <t xml:space="preserve">片手斧</t>
  </si>
  <si>
    <t xml:space="preserve">ダブル・クリーブ</t>
  </si>
  <si>
    <t xml:space="preserve">Double Cleave</t>
  </si>
  <si>
    <t xml:space="preserve">両手斧</t>
  </si>
  <si>
    <t xml:space="preserve">ワールウインド</t>
  </si>
  <si>
    <t xml:space="preserve">Whirlwind</t>
  </si>
  <si>
    <t xml:space="preserve">回転しながら薙ぎ払う基本技。</t>
  </si>
  <si>
    <t xml:space="preserve">スマッシュ</t>
  </si>
  <si>
    <t xml:space="preserve">単発の範囲斬撃。</t>
  </si>
  <si>
    <t xml:space="preserve">グランド・ディストラクト</t>
  </si>
  <si>
    <t xml:space="preserve">高命中の単発範囲撃。</t>
  </si>
  <si>
    <t xml:space="preserve">ロアリングジョルト</t>
  </si>
  <si>
    <t xml:space="preserve">刃先を飛ばす貫通攻撃。</t>
  </si>
  <si>
    <t xml:space="preserve">フィアスショック</t>
  </si>
  <si>
    <t xml:space="preserve">地面を叩く衝撃波。</t>
  </si>
  <si>
    <t xml:space="preserve">ボルケーノ</t>
  </si>
  <si>
    <t xml:space="preserve">振り上げの衝撃波+打ち上げ。</t>
  </si>
  <si>
    <t xml:space="preserve">チェインアングラー</t>
  </si>
  <si>
    <t xml:space="preserve">特殊</t>
  </si>
  <si>
    <t xml:space="preserve">刃先を飛ばして敵を引き寄せる。</t>
  </si>
  <si>
    <t xml:space="preserve">ランパー・ジャック</t>
  </si>
  <si>
    <t xml:space="preserve">三連の強斬撃。</t>
  </si>
  <si>
    <t xml:space="preserve">ライジングクロス</t>
  </si>
  <si>
    <t xml:space="preserve">突進からの二連撃+打ち上げ。</t>
  </si>
  <si>
    <t xml:space="preserve">クリムゾン・ブラッド</t>
  </si>
  <si>
    <t xml:space="preserve">三連の範囲斬撃。</t>
  </si>
  <si>
    <t xml:space="preserve">ロックファング</t>
  </si>
  <si>
    <t xml:space="preserve">溜め解放の全周衝撃波+打ち上げ。</t>
  </si>
  <si>
    <t xml:space="preserve">アルティメット・ブレイカー</t>
  </si>
  <si>
    <t xml:space="preserve">高威力の三連撃。</t>
  </si>
  <si>
    <t xml:space="preserve">トランプル・アクト</t>
  </si>
  <si>
    <t xml:space="preserve">超重量三連撃(低命中)。</t>
  </si>
  <si>
    <t xml:space="preserve">エクスプロード・カタパルト</t>
  </si>
  <si>
    <t xml:space="preserve">超命中の三連撃。</t>
  </si>
  <si>
    <t xml:space="preserve">クレセント・アバランシュ</t>
  </si>
  <si>
    <t xml:space="preserve">七連の重斬撃。</t>
  </si>
  <si>
    <t xml:space="preserve">メテオダウン</t>
  </si>
  <si>
    <t xml:space="preserve">効果未判明。</t>
  </si>
  <si>
    <t xml:space="preserve">グラビティ</t>
  </si>
  <si>
    <t xml:space="preserve">ディザスターホロウ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</si>
  <si>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比率ダメージの八連撃。</t>
    </r>
  </si>
  <si>
    <t xml:space="preserve">ダイナミック・ヴァイオレンス</t>
  </si>
  <si>
    <t xml:space="preserve">四連撃の奥義級スキル。</t>
  </si>
  <si>
    <t xml:space="preserve">片手棍</t>
  </si>
  <si>
    <t xml:space="preserve">クラッシュバン</t>
  </si>
  <si>
    <t xml:space="preserve">踏み込みからの突き打撃。</t>
  </si>
  <si>
    <t xml:space="preserve">サイレント・ブロウ</t>
  </si>
  <si>
    <t xml:space="preserve">単発の範囲打撃。</t>
  </si>
  <si>
    <t xml:space="preserve">パワー・ストライク</t>
  </si>
  <si>
    <t xml:space="preserve">力任せの単発範囲打撃。</t>
  </si>
  <si>
    <t xml:space="preserve">ビートダウン</t>
  </si>
  <si>
    <t xml:space="preserve">飛び込みながらの振り下ろし。</t>
  </si>
  <si>
    <t xml:space="preserve">アッパー・スウィング</t>
  </si>
  <si>
    <t xml:space="preserve">振り上げの二連打。</t>
  </si>
  <si>
    <t xml:space="preserve">ヒットウェーブ</t>
  </si>
  <si>
    <t xml:space="preserve">フルスイングで大きく吹き飛ばす。</t>
  </si>
  <si>
    <t xml:space="preserve">スピリットフォール</t>
  </si>
  <si>
    <t xml:space="preserve">打ち上げ→打ち下ろしの二連。</t>
  </si>
  <si>
    <t xml:space="preserve">ブルラッシュ</t>
  </si>
  <si>
    <t xml:space="preserve">突進体当たり→二連撃。</t>
  </si>
  <si>
    <t xml:space="preserve">ストライク・ハート</t>
  </si>
  <si>
    <t xml:space="preserve">急所を打つ三連(スタン)。</t>
  </si>
  <si>
    <t xml:space="preserve">トライス・ブロウ</t>
  </si>
  <si>
    <t xml:space="preserve">強力な三連打。</t>
  </si>
  <si>
    <t xml:space="preserve">ブルータル・ストライク</t>
  </si>
  <si>
    <t xml:space="preserve">荒々しい三連打。</t>
  </si>
  <si>
    <t xml:space="preserve">トリニティ・アーツ</t>
  </si>
  <si>
    <t xml:space="preserve">重い三連打。</t>
  </si>
  <si>
    <t xml:space="preserve">ハードスリング</t>
  </si>
  <si>
    <t xml:space="preserve">片手棍を投げつける。</t>
  </si>
  <si>
    <t xml:space="preserve">ライオットスマッシュ</t>
  </si>
  <si>
    <t xml:space="preserve">溜めからの打ち上げ強打。</t>
  </si>
  <si>
    <t xml:space="preserve">トライホーン</t>
  </si>
  <si>
    <t xml:space="preserve">溜め可能な最大三連打。</t>
  </si>
  <si>
    <t xml:space="preserve">アブソープション</t>
  </si>
  <si>
    <t xml:space="preserve">前方14m内の敵を引き寄せ連続打撃。</t>
  </si>
  <si>
    <t xml:space="preserve">ミョルニルハンマー</t>
  </si>
  <si>
    <t xml:space="preserve">行動阻害の四連打。</t>
  </si>
  <si>
    <t xml:space="preserve">ダイアストロフィズム</t>
  </si>
  <si>
    <t xml:space="preserve">地殻変動の名を冠する五連打。</t>
  </si>
  <si>
    <t xml:space="preserve">ハートビートブレイカー</t>
  </si>
  <si>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支援効果を持つ八連打。</t>
    </r>
  </si>
  <si>
    <t xml:space="preserve">ヴァリアブル・ブロウ</t>
  </si>
  <si>
    <t xml:space="preserve">八連打の奥義級スキル。</t>
  </si>
  <si>
    <t xml:space="preserve">槍</t>
  </si>
  <si>
    <t xml:space="preserve">ツイン・スラスト</t>
  </si>
  <si>
    <t xml:space="preserve">高命中の二連突き。</t>
  </si>
  <si>
    <t xml:space="preserve">アキュート・ヴォールト</t>
  </si>
  <si>
    <t xml:space="preserve">Acute Vault</t>
  </si>
  <si>
    <t xml:space="preserve">突進技。</t>
  </si>
  <si>
    <t xml:space="preserve">ヘリカル・トワイス</t>
  </si>
  <si>
    <t xml:space="preserve">螺旋の全方位二連撃。</t>
  </si>
  <si>
    <t xml:space="preserve">ソニック・チャージ</t>
  </si>
  <si>
    <t xml:space="preserve">高速の突進突き。</t>
  </si>
  <si>
    <t xml:space="preserve">フェイタル・スラスト</t>
  </si>
  <si>
    <t xml:space="preserve">致命の一突き(暗闇付与)。</t>
  </si>
  <si>
    <t xml:space="preserve">ヴェント・フォース</t>
  </si>
  <si>
    <t xml:space="preserve">風を纏う四連突き。</t>
  </si>
  <si>
    <t xml:space="preserve">リヴォーブ・アーツ</t>
  </si>
  <si>
    <t xml:space="preserve">回転を交えた五連突き。</t>
  </si>
  <si>
    <t xml:space="preserve">ダンシング・スピア</t>
  </si>
  <si>
    <t xml:space="preserve">舞うような五連突き。</t>
  </si>
  <si>
    <t xml:space="preserve">トリップ・エクスパンド</t>
  </si>
  <si>
    <t xml:space="preserve">六連の範囲突き(スタン)。</t>
  </si>
  <si>
    <t xml:space="preserve">ジャッジメント・ピアッサー</t>
  </si>
  <si>
    <t xml:space="preserve">裁きの七連突き。</t>
  </si>
  <si>
    <t xml:space="preserve">ディメンション・スタンピード</t>
  </si>
  <si>
    <t xml:space="preserve">投剣</t>
  </si>
  <si>
    <t xml:space="preserve">シングル・シュート</t>
  </si>
  <si>
    <t xml:space="preserve">Single Shot</t>
  </si>
  <si>
    <t xml:space="preserve">初歩の投剣技。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</si>
  <si>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章 </t>
    </r>
    <r>
      <rPr>
        <sz val="10"/>
        <rFont val="Arial"/>
        <family val="0"/>
        <charset val="1"/>
      </rPr>
      <t xml:space="preserve">/ 8</t>
    </r>
    <r>
      <rPr>
        <sz val="10"/>
        <rFont val="Noto Sans CJK SC"/>
        <family val="2"/>
      </rPr>
      <t xml:space="preserve">巻</t>
    </r>
  </si>
  <si>
    <t xml:space="preserve">体術(EX)</t>
  </si>
  <si>
    <t xml:space="preserve">閃打</t>
  </si>
  <si>
    <t xml:space="preserve">Senda</t>
  </si>
  <si>
    <t xml:space="preserve">踏み込みからの基本打撃技。</t>
  </si>
  <si>
    <t xml:space="preserve">プログレッシブ1巻・2巻・3巻</t>
  </si>
  <si>
    <t xml:space="preserve">水月</t>
  </si>
  <si>
    <t xml:space="preserve">Suigetsu</t>
  </si>
  <si>
    <t xml:space="preserve">回し蹴り。</t>
  </si>
  <si>
    <t xml:space="preserve">弦月</t>
  </si>
  <si>
    <t xml:space="preserve">Gengetsu</t>
  </si>
  <si>
    <t xml:space="preserve">後方宙返りしながらの蹴り技。</t>
  </si>
  <si>
    <t xml:space="preserve">プログレッシブ1巻・2巻 / 14巻</t>
  </si>
  <si>
    <t xml:space="preserve">エンブレイサー</t>
  </si>
  <si>
    <t xml:space="preserve">Embracer</t>
  </si>
  <si>
    <t xml:space="preserve">突(貫手)</t>
  </si>
  <si>
    <t xml:space="preserve">指先で敵を貫く素手の突き技。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</si>
  <si>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章</t>
    </r>
  </si>
  <si>
    <t xml:space="preserve">鋼練</t>
  </si>
  <si>
    <t xml:space="preserve">Haganeri</t>
  </si>
  <si>
    <t xml:space="preserve">防御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</si>
  <si>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秒間全身をフルプレート以上に硬化。素手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非金属防具限定。</t>
    </r>
  </si>
  <si>
    <t xml:space="preserve">ME26</t>
  </si>
  <si>
    <t xml:space="preserve">設定資料</t>
  </si>
  <si>
    <t xml:space="preserve">刀(EX)</t>
  </si>
  <si>
    <t xml:space="preserve">辻風</t>
  </si>
  <si>
    <t xml:space="preserve">Tsujikaze</t>
  </si>
  <si>
    <t xml:space="preserve">直線的で射程の長い一閃。</t>
  </si>
  <si>
    <t xml:space="preserve">プログレッシブ1巻</t>
  </si>
  <si>
    <t xml:space="preserve">クラインの使用技。</t>
  </si>
  <si>
    <t xml:space="preserve">幻月</t>
  </si>
  <si>
    <t xml:space="preserve">変則的に動く半円軌道の斬撃。</t>
  </si>
  <si>
    <t xml:space="preserve">浮舟</t>
  </si>
  <si>
    <t xml:space="preserve">Ukifune</t>
  </si>
  <si>
    <t xml:space="preserve">打上</t>
  </si>
  <si>
    <t xml:space="preserve">相手を高く打ち上げる技。</t>
  </si>
  <si>
    <t xml:space="preserve">旋車</t>
  </si>
  <si>
    <t xml:space="preserve">Tsumujiguruma</t>
  </si>
  <si>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度全周を薙ぐ回転斬り。</t>
    </r>
  </si>
  <si>
    <t xml:space="preserve">緋扇</t>
  </si>
  <si>
    <t xml:space="preserve">Hiougi</t>
  </si>
  <si>
    <t xml:space="preserve">斬+突</t>
  </si>
  <si>
    <t xml:space="preserve">斬り上げ→斬り下げ→突きの三連コンボ。</t>
  </si>
  <si>
    <t xml:space="preserve">羅刹</t>
  </si>
  <si>
    <t xml:space="preserve">防御を削ぐ三連撃(出血)。</t>
  </si>
  <si>
    <t xml:space="preserve">鷲羽</t>
  </si>
  <si>
    <t xml:space="preserve">五連斬撃(出血)。</t>
  </si>
  <si>
    <t xml:space="preserve">東雲</t>
  </si>
  <si>
    <t xml:space="preserve">高命中の三連撃。</t>
  </si>
  <si>
    <t xml:space="preserve">絶空</t>
  </si>
  <si>
    <t xml:space="preserve">Zekkuu</t>
  </si>
  <si>
    <t xml:space="preserve">抜刀動作を組み込んだ一閃。</t>
  </si>
  <si>
    <t xml:space="preserve">暁零</t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</si>
  <si>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回復効果を持つ三連撃。</t>
    </r>
  </si>
  <si>
    <t xml:space="preserve">散華</t>
  </si>
  <si>
    <t xml:space="preserve">五連撃の奥義級スキル(出血)。</t>
  </si>
  <si>
    <t xml:space="preserve">居合</t>
  </si>
  <si>
    <t xml:space="preserve">Iai</t>
  </si>
  <si>
    <t xml:space="preserve">刀スキル最上位級の技。</t>
  </si>
  <si>
    <t xml:space="preserve">武器防御</t>
  </si>
  <si>
    <t xml:space="preserve">スピニング・シールド</t>
  </si>
  <si>
    <t xml:space="preserve">Spinning Shield</t>
  </si>
  <si>
    <t xml:space="preserve">剣を風車のように回し半透明の盾を形成。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</si>
  <si>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/ 12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/ ME16</t>
    </r>
  </si>
  <si>
    <t xml:space="preserve">二刀流(ユニーク)</t>
  </si>
  <si>
    <t xml:space="preserve">ダブル・サーキュラー</t>
  </si>
  <si>
    <t xml:space="preserve">Double Circular</t>
  </si>
  <si>
    <t xml:space="preserve">突進しつつ右剣・左剣で素早く連撃。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</si>
  <si>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章 </t>
    </r>
    <r>
      <rPr>
        <sz val="10"/>
        <rFont val="Arial"/>
        <family val="0"/>
        <charset val="1"/>
      </rPr>
      <t xml:space="preserve">/ 6</t>
    </r>
    <r>
      <rPr>
        <sz val="10"/>
        <rFont val="Noto Sans CJK SC"/>
        <family val="2"/>
      </rPr>
      <t xml:space="preserve">巻</t>
    </r>
  </si>
  <si>
    <t xml:space="preserve">キリト専用。</t>
  </si>
  <si>
    <t xml:space="preserve">クロス・ブロック</t>
  </si>
  <si>
    <t xml:space="preserve">Cross Block</t>
  </si>
  <si>
    <t xml:space="preserve">両手の剣を交差させて受ける防御技。</t>
  </si>
  <si>
    <t xml:space="preserve">エンド・リボルバー</t>
  </si>
  <si>
    <t xml:space="preserve">回転する二連範囲撃。</t>
  </si>
  <si>
    <t xml:space="preserve">カウントレス・スパイク</t>
  </si>
  <si>
    <t xml:space="preserve">高命中の四連範囲撃。</t>
  </si>
  <si>
    <t xml:space="preserve">デッド・インターセクション</t>
  </si>
  <si>
    <t xml:space="preserve">交差軌道の五連撃。</t>
  </si>
  <si>
    <t xml:space="preserve">デプス・インパクト</t>
  </si>
  <si>
    <t xml:space="preserve">重い五連撃。</t>
  </si>
  <si>
    <t xml:space="preserve">ローカス・ヘクセドラ</t>
  </si>
  <si>
    <t xml:space="preserve">六面体軌道の七連撃(麻痺)。</t>
  </si>
  <si>
    <t xml:space="preserve">クリムゾン・スプラッシュ</t>
  </si>
  <si>
    <t xml:space="preserve">八連の重斬撃。</t>
  </si>
  <si>
    <t xml:space="preserve">インフェルノ・レイド</t>
  </si>
  <si>
    <t xml:space="preserve">九連の高命中撃。</t>
  </si>
  <si>
    <t xml:space="preserve">シャイン・サーキュラー</t>
  </si>
  <si>
    <t xml:space="preserve">15</t>
  </si>
  <si>
    <t xml:space="preserve">十五連の高速連撃。</t>
  </si>
  <si>
    <t xml:space="preserve">スターバースト・ストリーム</t>
  </si>
  <si>
    <t xml:space="preserve">Starburst Stream</t>
  </si>
  <si>
    <t xml:space="preserve">16</t>
  </si>
  <si>
    <t xml:space="preserve">二刀流の高位十六連撃。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</si>
  <si>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章</t>
    </r>
  </si>
  <si>
    <t xml:space="preserve">対グリームアイズ戦などで使用。</t>
  </si>
  <si>
    <t xml:space="preserve">ナイトメア・レイン</t>
  </si>
  <si>
    <t xml:space="preserve">十六連の高命中撃。</t>
  </si>
  <si>
    <t xml:space="preserve">ブラックハウリング・アサルト</t>
  </si>
  <si>
    <t xml:space="preserve">18</t>
  </si>
  <si>
    <t xml:space="preserve">十八連撃。</t>
  </si>
  <si>
    <t xml:space="preserve">ジ・イクリプス</t>
  </si>
  <si>
    <t xml:space="preserve">The Eclipse</t>
  </si>
  <si>
    <t xml:space="preserve">27</t>
  </si>
  <si>
    <t xml:space="preserve">二刀流の最上位二十七連撃。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</si>
  <si>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章</t>
    </r>
  </si>
  <si>
    <t xml:space="preserve">対ヒースクリフ最終決戦で使用。</t>
  </si>
  <si>
    <t xml:space="preserve">神聖剣(ユニーク)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</si>
  <si>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名称不詳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閃光技</t>
    </r>
  </si>
  <si>
    <r>
      <rPr>
        <sz val="10"/>
        <rFont val="Arial"/>
        <family val="0"/>
        <charset val="1"/>
      </rPr>
      <t xml:space="preserve">Divine Sword(</t>
    </r>
    <r>
      <rPr>
        <sz val="10"/>
        <rFont val="Noto Sans CJK SC"/>
        <family val="2"/>
      </rPr>
      <t xml:space="preserve">仮</t>
    </r>
    <r>
      <rPr>
        <sz val="10"/>
        <rFont val="Arial"/>
        <family val="0"/>
        <charset val="1"/>
      </rPr>
      <t xml:space="preserve">)</t>
    </r>
  </si>
  <si>
    <t xml:space="preserve">剣から強い光を放ち相手の目をくらませる。</t>
  </si>
  <si>
    <t xml:space="preserve">ヒースクリフ専用。</t>
  </si>
  <si>
    <t xml:space="preserve">複合(片手剣+体術)</t>
  </si>
  <si>
    <t xml:space="preserve">メテオ・ブレイク</t>
  </si>
  <si>
    <t xml:space="preserve">Meteor Break</t>
  </si>
  <si>
    <t xml:space="preserve">斬+打</t>
  </si>
  <si>
    <t xml:space="preserve">タックルを挟みながら強攻撃を連ねる七連撃。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</si>
  <si>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巻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章 </t>
    </r>
    <r>
      <rPr>
        <sz val="10"/>
        <rFont val="Arial"/>
        <family val="0"/>
        <charset val="1"/>
      </rPr>
      <t xml:space="preserve">/ 13</t>
    </r>
    <r>
      <rPr>
        <sz val="10"/>
        <rFont val="Noto Sans CJK SC"/>
        <family val="2"/>
      </rPr>
      <t xml:space="preserve">巻</t>
    </r>
  </si>
  <si>
    <t xml:space="preserve">推定条件: 片手直剣500+体術300程度。</t>
  </si>
  <si>
    <t xml:space="preserve">メテオ・フォール</t>
  </si>
  <si>
    <t xml:space="preserve">Meteor Fall</t>
  </si>
  <si>
    <t xml:space="preserve">打+斬</t>
  </si>
  <si>
    <t xml:space="preserve">剣を投げ上げ→拳→落下する剣で斬撃。</t>
  </si>
  <si>
    <r>
      <rPr>
        <sz val="10"/>
        <rFont val="Arial"/>
        <family val="0"/>
        <charset val="1"/>
      </rPr>
      <t xml:space="preserve">Versus(AW</t>
    </r>
    <r>
      <rPr>
        <sz val="10"/>
        <rFont val="Noto Sans CJK SC"/>
        <family val="2"/>
      </rPr>
      <t xml:space="preserve">コラボ</t>
    </r>
    <r>
      <rPr>
        <sz val="10"/>
        <rFont val="Arial"/>
        <family val="0"/>
        <charset val="1"/>
      </rPr>
      <t xml:space="preserve">)</t>
    </r>
  </si>
  <si>
    <t xml:space="preserve">範囲外(参考)</t>
  </si>
  <si>
    <t xml:space="preserve">推定条件: 片手直剣600+体術400程度。</t>
  </si>
  <si>
    <t xml:space="preserve">収録数</t>
  </si>
  <si>
    <t xml:space="preserve">うちゲーム出典</t>
  </si>
  <si>
    <t xml:space="preserve">合計</t>
  </si>
  <si>
    <r>
      <rPr>
        <i val="true"/>
        <sz val="10"/>
        <color rgb="FF595959"/>
        <rFont val="Noto Sans CJK SC"/>
        <family val="2"/>
      </rPr>
      <t xml:space="preserve">凡例</t>
    </r>
    <r>
      <rPr>
        <i val="true"/>
        <sz val="10"/>
        <color rgb="FF595959"/>
        <rFont val="Arial"/>
        <family val="0"/>
        <charset val="1"/>
      </rPr>
      <t xml:space="preserve">: ◎=</t>
    </r>
    <r>
      <rPr>
        <i val="true"/>
        <sz val="10"/>
        <color rgb="FF595959"/>
        <rFont val="Noto Sans CJK SC"/>
        <family val="2"/>
      </rPr>
      <t xml:space="preserve">原作で武器スキルとして確認 </t>
    </r>
    <r>
      <rPr>
        <i val="true"/>
        <sz val="10"/>
        <color rgb="FF595959"/>
        <rFont val="Arial"/>
        <family val="0"/>
        <charset val="1"/>
      </rPr>
      <t xml:space="preserve">/ ◯=</t>
    </r>
    <r>
      <rPr>
        <i val="true"/>
        <sz val="10"/>
        <color rgb="FF595959"/>
        <rFont val="Noto Sans CJK SC"/>
        <family val="2"/>
      </rPr>
      <t xml:space="preserve">原作で装備・使用が示唆 </t>
    </r>
    <r>
      <rPr>
        <i val="true"/>
        <sz val="10"/>
        <color rgb="FF595959"/>
        <rFont val="Arial"/>
        <family val="0"/>
        <charset val="1"/>
      </rPr>
      <t xml:space="preserve">/ △=</t>
    </r>
    <r>
      <rPr>
        <i val="true"/>
        <sz val="10"/>
        <color rgb="FF595959"/>
        <rFont val="Noto Sans CJK SC"/>
        <family val="2"/>
      </rPr>
      <t xml:space="preserve">推定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蓋然性高</t>
    </r>
    <r>
      <rPr>
        <i val="true"/>
        <sz val="10"/>
        <color rgb="FF595959"/>
        <rFont val="Arial"/>
        <family val="0"/>
        <charset val="1"/>
      </rPr>
      <t xml:space="preserve">) / ▲=</t>
    </r>
    <r>
      <rPr>
        <i val="true"/>
        <sz val="10"/>
        <color rgb="FF595959"/>
        <rFont val="Noto Sans CJK SC"/>
        <family val="2"/>
      </rPr>
      <t xml:space="preserve">推定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要検討</t>
    </r>
    <r>
      <rPr>
        <i val="true"/>
        <sz val="10"/>
        <color rgb="FF595959"/>
        <rFont val="Arial"/>
        <family val="0"/>
        <charset val="1"/>
      </rPr>
      <t xml:space="preserve">) / ✕=</t>
    </r>
    <r>
      <rPr>
        <i val="true"/>
        <sz val="10"/>
        <color rgb="FF595959"/>
        <rFont val="Noto Sans CJK SC"/>
        <family val="2"/>
      </rPr>
      <t xml:space="preserve">非実装が示唆</t>
    </r>
  </si>
  <si>
    <t xml:space="preserve">区分</t>
  </si>
  <si>
    <t xml:space="preserve">カテゴリ名</t>
  </si>
  <si>
    <t xml:space="preserve">想定される現実の武器例</t>
  </si>
  <si>
    <t xml:space="preserve">確度</t>
  </si>
  <si>
    <t xml:space="preserve">根拠</t>
  </si>
  <si>
    <t xml:space="preserve">タイプ傾向</t>
  </si>
  <si>
    <r>
      <rPr>
        <b val="true"/>
        <sz val="10"/>
        <color rgb="FFFFFFFF"/>
        <rFont val="Arial"/>
        <family val="0"/>
        <charset val="1"/>
      </rPr>
      <t xml:space="preserve">SAW</t>
    </r>
    <r>
      <rPr>
        <b val="true"/>
        <sz val="10"/>
        <color rgb="FFFFFFFF"/>
        <rFont val="Noto Sans CJK SC"/>
        <family val="2"/>
      </rPr>
      <t xml:space="preserve">設計メモ</t>
    </r>
  </si>
  <si>
    <t xml:space="preserve">片手武器</t>
  </si>
  <si>
    <t xml:space="preserve">片手用直剣</t>
  </si>
  <si>
    <t xml:space="preserve">ロングソード、ブロードソード、グラディウス、スパタ</t>
  </si>
  <si>
    <t xml:space="preserve">◎</t>
  </si>
  <si>
    <t xml:space="preserve">キリトの主武器。武器スキルとして明言。</t>
  </si>
  <si>
    <t xml:space="preserve">斬・突</t>
  </si>
  <si>
    <t xml:space="preserve">基準カテゴリ。細剣・両手剣の解禁前提スキル。</t>
  </si>
  <si>
    <t xml:space="preserve">レイピア、エストック、スモールソード</t>
  </si>
  <si>
    <t xml:space="preserve">アスナの主武器。片手直剣の熟練で出現。</t>
  </si>
  <si>
    <r>
      <rPr>
        <sz val="10"/>
        <rFont val="Noto Sans CJK SC"/>
        <family val="2"/>
      </rPr>
      <t xml:space="preserve">突き特化。エストックなら突き技のみ流用可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原作言及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</si>
  <si>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片手用曲刀</t>
  </si>
  <si>
    <t xml:space="preserve">シミター、サーベル、カットラス、ファルシオン、ダオ</t>
  </si>
  <si>
    <t xml:space="preserve">武器スキルとして明言。熟練で刀が出現。</t>
  </si>
  <si>
    <t xml:space="preserve">斬撃特化。刀への中継カテゴリ。</t>
  </si>
  <si>
    <t xml:space="preserve">ダガー、ナイフ、ダーク、クリス、タントー</t>
  </si>
  <si>
    <t xml:space="preserve">武器スキルとして明言。</t>
  </si>
  <si>
    <t xml:space="preserve">突・斬</t>
  </si>
  <si>
    <t xml:space="preserve">手数・隠密系と好相性。</t>
  </si>
  <si>
    <t xml:space="preserve">鎧通し</t>
  </si>
  <si>
    <t xml:space="preserve">スティレット、メイルブレイカー、パンツァーシュテッヒャー</t>
  </si>
  <si>
    <r>
      <rPr>
        <sz val="10"/>
        <rFont val="Noto Sans CJK SC"/>
        <family val="2"/>
      </rPr>
      <t xml:space="preserve">武器スキル「鎧通し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アーマーピアーズ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」として設定資料に記載。</t>
    </r>
  </si>
  <si>
    <t xml:space="preserve">防御無視・急所特化のニッチカテゴリ。</t>
  </si>
  <si>
    <r>
      <rPr>
        <sz val="10"/>
        <rFont val="Noto Sans CJK SC"/>
        <family val="2"/>
      </rPr>
      <t xml:space="preserve">メイス、ウォーハンマー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片手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、モーニングスター</t>
    </r>
  </si>
  <si>
    <r>
      <rPr>
        <sz val="10"/>
        <rFont val="Noto Sans CJK SC"/>
        <family val="2"/>
      </rPr>
      <t xml:space="preserve">武器スキル「片手棍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片手用戦槌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」として明言。</t>
    </r>
  </si>
  <si>
    <t xml:space="preserve">スタン・体勢崩し特化。</t>
  </si>
  <si>
    <t xml:space="preserve">ハンドアックス、トマホーク</t>
  </si>
  <si>
    <t xml:space="preserve">武器スキルとして明言。ダブル・クリーブが原作登場。</t>
  </si>
  <si>
    <t xml:space="preserve">重斬撃。投斧との複合の余地。</t>
  </si>
  <si>
    <t xml:space="preserve">片手槍</t>
  </si>
  <si>
    <t xml:space="preserve">ショートスピア</t>
  </si>
  <si>
    <t xml:space="preserve">武器スキルとして設定資料に記載。</t>
  </si>
  <si>
    <t xml:space="preserve">盾との併用前提の中リーチ。</t>
  </si>
  <si>
    <t xml:space="preserve">片手突撃槍</t>
  </si>
  <si>
    <r>
      <rPr>
        <sz val="10"/>
        <rFont val="Noto Sans CJK SC"/>
        <family val="2"/>
      </rPr>
      <t xml:space="preserve">ランス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片手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、カヴァルリーランス</t>
    </r>
  </si>
  <si>
    <t xml:space="preserve">突進技特化。移動速度依存の威力補正が似合う。</t>
  </si>
  <si>
    <t xml:space="preserve">爪</t>
  </si>
  <si>
    <t xml:space="preserve">クロー、バグナウ、鉄爪</t>
  </si>
  <si>
    <t xml:space="preserve">武器スキル「爪」として設定資料に記載。</t>
  </si>
  <si>
    <t xml:space="preserve">連撃・出血特化。体術との複合候補。</t>
  </si>
  <si>
    <t xml:space="preserve">両手武器</t>
  </si>
  <si>
    <t xml:space="preserve">両手用直剣</t>
  </si>
  <si>
    <t xml:space="preserve">ツーハンデッドソード、クレイモア、ツヴァイヘンダー</t>
  </si>
  <si>
    <t xml:space="preserve">武器スキルとして明言。片手直剣の熟練で出現。</t>
  </si>
  <si>
    <t xml:space="preserve">高威力・高硬直。</t>
  </si>
  <si>
    <t xml:space="preserve">両手用戦斧</t>
  </si>
  <si>
    <t xml:space="preserve">バトルアックス、ラブリュス、ブロードアックス</t>
  </si>
  <si>
    <t xml:space="preserve">範囲薙ぎ特化。</t>
  </si>
  <si>
    <t xml:space="preserve">両手槍</t>
  </si>
  <si>
    <t xml:space="preserve">スピア、パイク、ヤリ</t>
  </si>
  <si>
    <r>
      <rPr>
        <sz val="10"/>
        <rFont val="Noto Sans CJK SC"/>
        <family val="2"/>
      </rPr>
      <t xml:space="preserve">最長リーチ。全方位技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ヘリカル系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と好相性。</t>
    </r>
  </si>
  <si>
    <t xml:space="preserve">両手突撃槍</t>
  </si>
  <si>
    <t xml:space="preserve">グレートランス、ヘビーランス</t>
  </si>
  <si>
    <t xml:space="preserve">突進奥義特化。ユニーク「無限槍」との関連候補。</t>
  </si>
  <si>
    <t xml:space="preserve">刀</t>
  </si>
  <si>
    <t xml:space="preserve">打刀、太刀</t>
  </si>
  <si>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スキル。曲刀の熟練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隠し条件で出現。クラインが使用。</t>
    </r>
  </si>
  <si>
    <t xml:space="preserve">技名は和名。居合が最上位。</t>
  </si>
  <si>
    <t xml:space="preserve">素手・特殊</t>
  </si>
  <si>
    <t xml:space="preserve">格闘</t>
  </si>
  <si>
    <t xml:space="preserve">ナックルダスター、セスタス</t>
  </si>
  <si>
    <r>
      <rPr>
        <sz val="10"/>
        <rFont val="Noto Sans CJK SC"/>
        <family val="2"/>
      </rPr>
      <t xml:space="preserve">武器スキル「格闘」として設定資料に記載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体術とは別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</si>
  <si>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武器装備型の打撃。体術は</t>
    </r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スキルとして別枠。</t>
    </r>
  </si>
  <si>
    <t xml:space="preserve">体術</t>
  </si>
  <si>
    <t xml:space="preserve">素手</t>
  </si>
  <si>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スキル。修得クエストあり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層の老師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</si>
  <si>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打・突</t>
  </si>
  <si>
    <r>
      <rPr>
        <sz val="10"/>
        <rFont val="Noto Sans CJK SC"/>
        <family val="2"/>
      </rPr>
      <t xml:space="preserve">非金属防具限定の技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鋼練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など制約付き技を持つ。</t>
    </r>
  </si>
  <si>
    <r>
      <rPr>
        <sz val="10"/>
        <rFont val="Noto Sans CJK SC"/>
        <family val="2"/>
      </rPr>
      <t xml:space="preserve">全武器共通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系統別</t>
    </r>
    <r>
      <rPr>
        <sz val="10"/>
        <rFont val="Arial"/>
        <family val="0"/>
        <charset val="1"/>
      </rPr>
      <t xml:space="preserve">)</t>
    </r>
  </si>
  <si>
    <t xml:space="preserve">武器スキルとして明言。スピニング・シールドが登場。</t>
  </si>
  <si>
    <t xml:space="preserve">武器種ごとの防御技ツリーとして設計可。</t>
  </si>
  <si>
    <t xml:space="preserve">投擲武器</t>
  </si>
  <si>
    <t xml:space="preserve">スローイングピック、スローイングナイフ</t>
  </si>
  <si>
    <t xml:space="preserve">武器スキル「投剣」として明言。シングル・シュートが登場。</t>
  </si>
  <si>
    <t xml:space="preserve">サブウェポン枠。メイン武器と併用可。</t>
  </si>
  <si>
    <t xml:space="preserve">大鎌</t>
  </si>
  <si>
    <t xml:space="preserve">サイズ、ウォーサイス</t>
  </si>
  <si>
    <t xml:space="preserve">◯</t>
  </si>
  <si>
    <t xml:space="preserve">劇場版プログレッシブでミトが使用。黒鉄宮のボスも使用。</t>
  </si>
  <si>
    <t xml:space="preserve">「扱い手がほぼいない死にスキル」と示唆。ピーキー性能が原作準拠。</t>
  </si>
  <si>
    <t xml:space="preserve">チャクラム</t>
  </si>
  <si>
    <t xml:space="preserve">チャクラム、円月輪</t>
  </si>
  <si>
    <t xml:space="preserve">装備品カテゴリとして設定資料に存在。</t>
  </si>
  <si>
    <t xml:space="preserve">投擲・斬</t>
  </si>
  <si>
    <r>
      <rPr>
        <sz val="10"/>
        <rFont val="Noto Sans CJK SC"/>
        <family val="2"/>
      </rPr>
      <t xml:space="preserve">投擲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近接両用の特殊枠。</t>
    </r>
  </si>
  <si>
    <t xml:space="preserve">鞭</t>
  </si>
  <si>
    <t xml:space="preserve">ウィップ、ブルウィップ</t>
  </si>
  <si>
    <r>
      <rPr>
        <sz val="10"/>
        <rFont val="Arial"/>
        <family val="0"/>
        <charset val="1"/>
      </rPr>
      <t xml:space="preserve">UW</t>
    </r>
    <r>
      <rPr>
        <sz val="10"/>
        <rFont val="Noto Sans CJK SC"/>
        <family val="2"/>
      </rPr>
      <t xml:space="preserve">のセルルト流が鞭を使用</t>
    </r>
    <r>
      <rPr>
        <sz val="10"/>
        <rFont val="Arial"/>
        <family val="0"/>
        <charset val="1"/>
      </rPr>
      <t xml:space="preserve">(SAO</t>
    </r>
    <r>
      <rPr>
        <sz val="10"/>
        <rFont val="Noto Sans CJK SC"/>
        <family val="2"/>
      </rPr>
      <t xml:space="preserve">由来の技体系を持つ流派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</si>
  <si>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斬・特殊</t>
  </si>
  <si>
    <t xml:space="preserve">拘束・武器絡め取り技。中距離牽制。</t>
  </si>
  <si>
    <t xml:space="preserve">フレイル</t>
  </si>
  <si>
    <t xml:space="preserve">フレイル、連接棍、鎖付モーニングスター</t>
  </si>
  <si>
    <t xml:space="preserve">△</t>
  </si>
  <si>
    <t xml:space="preserve">片手棍の派生として自然。中世武器の定番。</t>
  </si>
  <si>
    <r>
      <rPr>
        <sz val="10"/>
        <rFont val="Noto Sans CJK SC"/>
        <family val="2"/>
      </rPr>
      <t xml:space="preserve">盾越し攻撃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軌道が曲がる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という個性を出せる。</t>
    </r>
  </si>
  <si>
    <t xml:space="preserve">ウォーピック</t>
  </si>
  <si>
    <t xml:space="preserve">ウォーピック、戦鎚鎬、クローバック</t>
  </si>
  <si>
    <t xml:space="preserve">片手棍と鎧通しの中間。対重装の実在定番武器。</t>
  </si>
  <si>
    <t xml:space="preserve">突・打</t>
  </si>
  <si>
    <t xml:space="preserve">対金属鎧特効。片手棍の熟練で出現する設計が自然。</t>
  </si>
  <si>
    <t xml:space="preserve">手鉤・鉤爪剣</t>
  </si>
  <si>
    <r>
      <rPr>
        <sz val="10"/>
        <rFont val="Noto Sans CJK SC"/>
        <family val="2"/>
      </rPr>
      <t xml:space="preserve">フック、シックル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片手鎌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、カマ</t>
    </r>
  </si>
  <si>
    <t xml:space="preserve">農具系武器。爪・短剣の近縁。</t>
  </si>
  <si>
    <t xml:space="preserve">引き倒し・武器奪取などの搦め手。</t>
  </si>
  <si>
    <r>
      <rPr>
        <sz val="10"/>
        <rFont val="Noto Sans CJK SC"/>
        <family val="2"/>
      </rPr>
      <t xml:space="preserve">刺剣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マンゴーシュ</t>
    </r>
    <r>
      <rPr>
        <sz val="10"/>
        <rFont val="Arial"/>
        <family val="0"/>
        <charset val="1"/>
      </rPr>
      <t xml:space="preserve">)</t>
    </r>
  </si>
  <si>
    <t xml:space="preserve">マンゴーシュ、ソードブレイカー</t>
  </si>
  <si>
    <t xml:space="preserve">▲</t>
  </si>
  <si>
    <t xml:space="preserve">細剣の対武器サブ枠。二刀流がユニークのため主武器化は困難。</t>
  </si>
  <si>
    <t xml:space="preserve">突・防御</t>
  </si>
  <si>
    <r>
      <rPr>
        <sz val="10"/>
        <rFont val="Noto Sans CJK SC"/>
        <family val="2"/>
      </rPr>
      <t xml:space="preserve">武器防御スキルとの複合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パリーイングダガー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なら整合。</t>
    </r>
  </si>
  <si>
    <t xml:space="preserve">斧槍</t>
  </si>
  <si>
    <t xml:space="preserve">ハルバード、ポールアックス、バルディッシュ</t>
  </si>
  <si>
    <t xml:space="preserve">槍と斧の複合。中世武器の代表格で欠落が不自然なレベル。</t>
  </si>
  <si>
    <r>
      <rPr>
        <sz val="10"/>
        <rFont val="Noto Sans CJK SC"/>
        <family val="2"/>
      </rPr>
      <t xml:space="preserve">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突両対応の万能ポール枠。複合スキル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両手斧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で解禁する設計も可。</t>
    </r>
  </si>
  <si>
    <t xml:space="preserve">薙刀・グレイブ</t>
  </si>
  <si>
    <t xml:space="preserve">ナギナタ、グレイブ、グアンダオ</t>
  </si>
  <si>
    <r>
      <rPr>
        <sz val="10"/>
        <rFont val="Noto Sans CJK SC"/>
        <family val="2"/>
      </rPr>
      <t xml:space="preserve">刀</t>
    </r>
    <r>
      <rPr>
        <sz val="10"/>
        <rFont val="Arial"/>
        <family val="0"/>
        <charset val="1"/>
      </rPr>
      <t xml:space="preserve">(EX)</t>
    </r>
    <r>
      <rPr>
        <sz val="10"/>
        <rFont val="Noto Sans CJK SC"/>
        <family val="2"/>
      </rPr>
      <t xml:space="preserve">の存在から和武器系統の拡張として自然。</t>
    </r>
  </si>
  <si>
    <t xml:space="preserve">円弧範囲斬り特化。刀と曲刀の熟練複合で出現する設計が可能。</t>
  </si>
  <si>
    <t xml:space="preserve">大槌</t>
  </si>
  <si>
    <t xml:space="preserve">モール、スレッジハンマー、両手ウォーハンマー</t>
  </si>
  <si>
    <t xml:space="preserve">片手棍の両手版。両手斧との対になる打撃枠。</t>
  </si>
  <si>
    <t xml:space="preserve">最重打撃。スタン・地形衝撃波技。</t>
  </si>
  <si>
    <t xml:space="preserve">棍・杖</t>
  </si>
  <si>
    <t xml:space="preserve">クォータースタッフ、棒、六尺棒</t>
  </si>
  <si>
    <t xml:space="preserve">最古の武器のひとつ。打撃系の入門枠として自然。</t>
  </si>
  <si>
    <t xml:space="preserve">低威力・高速回転の手数型。安価で入手容易な設定が似合う。</t>
  </si>
  <si>
    <t xml:space="preserve">野太刀</t>
  </si>
  <si>
    <t xml:space="preserve">ノダチ、オオダチ</t>
  </si>
  <si>
    <r>
      <rPr>
        <sz val="10"/>
        <rFont val="Noto Sans CJK SC"/>
        <family val="2"/>
      </rPr>
      <t xml:space="preserve">刀の上位派生として想定可能。ただし刀自体が</t>
    </r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スキル。</t>
    </r>
  </si>
  <si>
    <r>
      <rPr>
        <sz val="10"/>
        <rFont val="Noto Sans CJK SC"/>
        <family val="2"/>
      </rPr>
      <t xml:space="preserve">刀熟練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以上で出現する派生</t>
    </r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など、深い隠し枠向け。</t>
    </r>
  </si>
  <si>
    <t xml:space="preserve">フランベルジュ</t>
  </si>
  <si>
    <t xml:space="preserve">両手剣の装備バリエーションで吸収可能。独立カテゴリの必然性は低い。</t>
  </si>
  <si>
    <t xml:space="preserve">出血特効武器として両手剣内で表現する方が自然。</t>
  </si>
  <si>
    <t xml:space="preserve">ヌンチャク・多節棍</t>
  </si>
  <si>
    <t xml:space="preserve">ヌンチャク、三節棍</t>
  </si>
  <si>
    <r>
      <rPr>
        <sz val="10"/>
        <rFont val="Noto Sans CJK SC"/>
        <family val="2"/>
      </rPr>
      <t xml:space="preserve">体術</t>
    </r>
    <r>
      <rPr>
        <sz val="10"/>
        <rFont val="Arial"/>
        <family val="0"/>
        <charset val="1"/>
      </rPr>
      <t xml:space="preserve">(EX)</t>
    </r>
    <r>
      <rPr>
        <sz val="10"/>
        <rFont val="Noto Sans CJK SC"/>
        <family val="2"/>
      </rPr>
      <t xml:space="preserve">の武器版として想定可能。東洋武器枠。</t>
    </r>
  </si>
  <si>
    <r>
      <rPr>
        <sz val="10"/>
        <rFont val="Noto Sans CJK SC"/>
        <family val="2"/>
      </rPr>
      <t xml:space="preserve">高難度・高手数。</t>
    </r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スキル向き。</t>
    </r>
  </si>
  <si>
    <t xml:space="preserve">鎖鎌</t>
  </si>
  <si>
    <t xml:space="preserve">クサリガマ</t>
  </si>
  <si>
    <r>
      <rPr>
        <sz val="10"/>
        <rFont val="Noto Sans CJK SC"/>
        <family val="2"/>
      </rPr>
      <t xml:space="preserve">和武器の搦め手枠。刀</t>
    </r>
    <r>
      <rPr>
        <sz val="10"/>
        <rFont val="Arial"/>
        <family val="0"/>
        <charset val="1"/>
      </rPr>
      <t xml:space="preserve">EX</t>
    </r>
    <r>
      <rPr>
        <sz val="10"/>
        <rFont val="Noto Sans CJK SC"/>
        <family val="2"/>
      </rPr>
      <t xml:space="preserve">の系譜で隠しスキル向き。</t>
    </r>
  </si>
  <si>
    <r>
      <rPr>
        <sz val="10"/>
        <rFont val="Noto Sans CJK SC"/>
        <family val="2"/>
      </rPr>
      <t xml:space="preserve">分銅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打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の二段技。捕縛技持ち。</t>
    </r>
  </si>
  <si>
    <t xml:space="preserve">ロープダート</t>
  </si>
  <si>
    <t xml:space="preserve">縄鏢、流星錘</t>
  </si>
  <si>
    <t xml:space="preserve">中華武器枠。投擲と近接の中間。</t>
  </si>
  <si>
    <t xml:space="preserve">打・特殊</t>
  </si>
  <si>
    <t xml:space="preserve">回収可能な投擲という個性。実装優先度は低め。</t>
  </si>
  <si>
    <r>
      <rPr>
        <sz val="10"/>
        <rFont val="Noto Sans CJK SC"/>
        <family val="2"/>
      </rPr>
      <t xml:space="preserve">盾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シールドバッシュ</t>
    </r>
    <r>
      <rPr>
        <sz val="10"/>
        <rFont val="Arial"/>
        <family val="0"/>
        <charset val="1"/>
      </rPr>
      <t xml:space="preserve">)</t>
    </r>
  </si>
  <si>
    <t xml:space="preserve">バックラー、カイトシールド</t>
  </si>
  <si>
    <t xml:space="preserve">盾は防具スキルだが、ヒースクリフの戦法から打撃転用は示唆的。</t>
  </si>
  <si>
    <t xml:space="preserve">打・防御</t>
  </si>
  <si>
    <r>
      <rPr>
        <sz val="10"/>
        <rFont val="Noto Sans CJK SC"/>
        <family val="2"/>
      </rPr>
      <t xml:space="preserve">「盾は防具」の原作原則を守るなら、武器防御スキルの</t>
    </r>
    <r>
      <rPr>
        <sz val="10"/>
        <rFont val="Arial"/>
        <family val="0"/>
        <charset val="1"/>
      </rPr>
      <t xml:space="preserve">MOD</t>
    </r>
    <r>
      <rPr>
        <sz val="10"/>
        <rFont val="Noto Sans CJK SC"/>
        <family val="2"/>
      </rPr>
      <t xml:space="preserve">扱いが整合的。</t>
    </r>
  </si>
  <si>
    <t xml:space="preserve">手裏剣</t>
  </si>
  <si>
    <t xml:space="preserve">シュリケン、クナイ</t>
  </si>
  <si>
    <r>
      <rPr>
        <sz val="10"/>
        <rFont val="Noto Sans CJK SC"/>
        <family val="2"/>
      </rPr>
      <t xml:space="preserve">ユニークスキル「手裏剣術」が存在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未取得のまま終了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</si>
  <si>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通常カテゴリではなくユニーク枠として原作に存在。</t>
  </si>
  <si>
    <t xml:space="preserve">投斧</t>
  </si>
  <si>
    <t xml:space="preserve">フランキスカ、投げトマホーク</t>
  </si>
  <si>
    <t xml:space="preserve">片手斧の投擲派生として自然。</t>
  </si>
  <si>
    <t xml:space="preserve">片手斧の熟練で出現する複合が自然。</t>
  </si>
  <si>
    <t xml:space="preserve">投槍</t>
  </si>
  <si>
    <t xml:space="preserve">ジャベリン、ピルム</t>
  </si>
  <si>
    <t xml:space="preserve">槍系の投擲派生として自然。</t>
  </si>
  <si>
    <t xml:space="preserve">投擲・突</t>
  </si>
  <si>
    <r>
      <rPr>
        <sz val="10"/>
        <rFont val="Noto Sans CJK SC"/>
        <family val="2"/>
      </rPr>
      <t xml:space="preserve">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投剣の複合スキル枠。</t>
    </r>
  </si>
  <si>
    <t xml:space="preserve">ブーメラン</t>
  </si>
  <si>
    <t xml:space="preserve">ブーメラン、投げ棒</t>
  </si>
  <si>
    <r>
      <rPr>
        <sz val="10"/>
        <rFont val="Noto Sans CJK SC"/>
        <family val="2"/>
      </rPr>
      <t xml:space="preserve">実在武器だがファンタジー</t>
    </r>
    <r>
      <rPr>
        <sz val="10"/>
        <rFont val="Arial"/>
        <family val="0"/>
        <charset val="1"/>
      </rPr>
      <t xml:space="preserve">MMO</t>
    </r>
    <r>
      <rPr>
        <sz val="10"/>
        <rFont val="Noto Sans CJK SC"/>
        <family val="2"/>
      </rPr>
      <t xml:space="preserve">での帰還武器は挙動が特殊。</t>
    </r>
  </si>
  <si>
    <t xml:space="preserve">投擲・打</t>
  </si>
  <si>
    <t xml:space="preserve">カーディナルの物理演算的に実装可能だが優先度低。</t>
  </si>
  <si>
    <t xml:space="preserve">スリング</t>
  </si>
  <si>
    <t xml:space="preserve">スリング、投石紐</t>
  </si>
  <si>
    <r>
      <rPr>
        <sz val="10"/>
        <rFont val="Noto Sans CJK SC"/>
        <family val="2"/>
      </rPr>
      <t xml:space="preserve">最古の遠隔武器。ただし</t>
    </r>
    <r>
      <rPr>
        <sz val="10"/>
        <rFont val="Arial"/>
        <family val="0"/>
        <charset val="1"/>
      </rPr>
      <t xml:space="preserve">SAO</t>
    </r>
    <r>
      <rPr>
        <sz val="10"/>
        <rFont val="Noto Sans CJK SC"/>
        <family val="2"/>
      </rPr>
      <t xml:space="preserve">の遠隔は投擲のみで威力控えめの原則。</t>
    </r>
  </si>
  <si>
    <t xml:space="preserve">低コスト遠隔の下位枠。牽制専用なら世界観と整合。</t>
  </si>
  <si>
    <r>
      <rPr>
        <sz val="10"/>
        <rFont val="Noto Sans CJK SC"/>
        <family val="2"/>
      </rPr>
      <t xml:space="preserve">参考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非実装</t>
    </r>
    <r>
      <rPr>
        <sz val="10"/>
        <rFont val="Arial"/>
        <family val="0"/>
        <charset val="1"/>
      </rPr>
      <t xml:space="preserve">)</t>
    </r>
  </si>
  <si>
    <t xml:space="preserve">弓</t>
  </si>
  <si>
    <t xml:space="preserve">ロングボウ、ショートボウ</t>
  </si>
  <si>
    <t xml:space="preserve">✕</t>
  </si>
  <si>
    <r>
      <rPr>
        <sz val="10"/>
        <rFont val="Arial"/>
        <family val="0"/>
        <charset val="1"/>
      </rPr>
      <t xml:space="preserve">SAO</t>
    </r>
    <r>
      <rPr>
        <sz val="10"/>
        <rFont val="Noto Sans CJK SC"/>
        <family val="2"/>
      </rPr>
      <t xml:space="preserve">に弓矢は存在せず、</t>
    </r>
    <r>
      <rPr>
        <sz val="10"/>
        <rFont val="Arial"/>
        <family val="0"/>
        <charset val="1"/>
      </rPr>
      <t xml:space="preserve">ALO</t>
    </r>
    <r>
      <rPr>
        <sz val="10"/>
        <rFont val="Noto Sans CJK SC"/>
        <family val="2"/>
      </rPr>
      <t xml:space="preserve">で初実装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原作明言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</si>
  <si>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射撃</t>
  </si>
  <si>
    <r>
      <rPr>
        <sz val="10"/>
        <rFont val="Arial"/>
        <family val="0"/>
        <charset val="1"/>
      </rPr>
      <t xml:space="preserve">SAW</t>
    </r>
    <r>
      <rPr>
        <sz val="10"/>
        <rFont val="Noto Sans CJK SC"/>
        <family val="2"/>
      </rPr>
      <t xml:space="preserve">側で意図的に外すか、あえて実装するかの判断材料として記載。</t>
    </r>
  </si>
  <si>
    <t xml:space="preserve">クロスボウ</t>
  </si>
  <si>
    <t xml:space="preserve">クロスボウ、バリスタ</t>
  </si>
  <si>
    <r>
      <rPr>
        <sz val="10"/>
        <rFont val="Noto Sans CJK SC"/>
        <family val="2"/>
      </rPr>
      <t xml:space="preserve">弓同様、射撃武器は</t>
    </r>
    <r>
      <rPr>
        <sz val="10"/>
        <rFont val="Arial"/>
        <family val="0"/>
        <charset val="1"/>
      </rPr>
      <t xml:space="preserve">SAO</t>
    </r>
    <r>
      <rPr>
        <sz val="10"/>
        <rFont val="Noto Sans CJK SC"/>
        <family val="2"/>
      </rPr>
      <t xml:space="preserve">に非実装と考えるのが整合的。</t>
    </r>
  </si>
  <si>
    <r>
      <rPr>
        <sz val="10"/>
        <rFont val="Noto Sans CJK SC"/>
        <family val="2"/>
      </rPr>
      <t xml:space="preserve">「遠隔は投擲のみ」が</t>
    </r>
    <r>
      <rPr>
        <sz val="10"/>
        <rFont val="Arial"/>
        <family val="0"/>
        <charset val="1"/>
      </rPr>
      <t xml:space="preserve">SAO</t>
    </r>
    <r>
      <rPr>
        <sz val="10"/>
        <rFont val="Noto Sans CJK SC"/>
        <family val="2"/>
      </rPr>
      <t xml:space="preserve">の戦闘設計思想。</t>
    </r>
  </si>
  <si>
    <t xml:space="preserve">銃・火器</t>
  </si>
  <si>
    <t xml:space="preserve">マスケット等</t>
  </si>
  <si>
    <r>
      <rPr>
        <sz val="10"/>
        <rFont val="Noto Sans CJK SC"/>
        <family val="2"/>
      </rPr>
      <t xml:space="preserve">世界観外</t>
    </r>
    <r>
      <rPr>
        <sz val="10"/>
        <rFont val="Arial"/>
        <family val="0"/>
        <charset val="1"/>
      </rPr>
      <t xml:space="preserve">(GGO</t>
    </r>
    <r>
      <rPr>
        <sz val="10"/>
        <rFont val="Noto Sans CJK SC"/>
        <family val="2"/>
      </rPr>
      <t xml:space="preserve">の領分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</si>
  <si>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収録外。比較参照用。</t>
  </si>
  <si>
    <t xml:space="preserve">確度別集計</t>
  </si>
  <si>
    <t xml:space="preserve">出典ゲーム</t>
  </si>
  <si>
    <t xml:space="preserve">属性</t>
  </si>
  <si>
    <t xml:space="preserve">消費SP</t>
  </si>
  <si>
    <t xml:space="preserve">効果・挙動</t>
  </si>
  <si>
    <t xml:space="preserve">原作との関係</t>
  </si>
  <si>
    <t xml:space="preserve">ホロウ・フラグメント(2014/Vita)</t>
  </si>
  <si>
    <t xml:space="preserve">アーマー・ピアス</t>
  </si>
  <si>
    <r>
      <rPr>
        <sz val="10"/>
        <rFont val="Arial"/>
        <family val="0"/>
        <charset val="1"/>
      </rPr>
      <t xml:space="preserve">DEX50%</t>
    </r>
    <r>
      <rPr>
        <sz val="10"/>
        <rFont val="Noto Sans CJK SC"/>
        <family val="2"/>
      </rPr>
      <t xml:space="preserve">補正。高命中、防御力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</si>
  <si>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t xml:space="preserve">ゲームオリジナル</t>
  </si>
  <si>
    <t xml:space="preserve">名称は原作の武器スキル「鎧通し」由来。</t>
  </si>
  <si>
    <r>
      <rPr>
        <sz val="10"/>
        <rFont val="Arial"/>
        <family val="0"/>
        <charset val="1"/>
      </rPr>
      <t xml:space="preserve">DEX40%+AGI40%</t>
    </r>
    <r>
      <rPr>
        <sz val="10"/>
        <rFont val="Noto Sans CJK SC"/>
        <family val="2"/>
      </rPr>
      <t xml:space="preserve">補正。稀に束縛付与。</t>
    </r>
  </si>
  <si>
    <r>
      <rPr>
        <sz val="10"/>
        <rFont val="Arial"/>
        <family val="0"/>
        <charset val="1"/>
      </rPr>
      <t xml:space="preserve">STR40%+DEX50%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</si>
  <si>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DEX100%</t>
    </r>
    <r>
      <rPr>
        <sz val="10"/>
        <rFont val="Noto Sans CJK SC"/>
        <family val="2"/>
      </rPr>
      <t xml:space="preserve">補正。高命中、</t>
    </r>
    <r>
      <rPr>
        <sz val="10"/>
        <rFont val="Arial"/>
        <family val="0"/>
        <charset val="1"/>
      </rPr>
      <t xml:space="preserve">DEX</t>
    </r>
    <r>
      <rPr>
        <sz val="10"/>
        <rFont val="Noto Sans CJK SC"/>
        <family val="2"/>
      </rPr>
      <t xml:space="preserve">低下付与。</t>
    </r>
  </si>
  <si>
    <r>
      <rPr>
        <sz val="10"/>
        <rFont val="Arial"/>
        <family val="0"/>
        <charset val="1"/>
      </rPr>
      <t xml:space="preserve">DEX110%</t>
    </r>
    <r>
      <rPr>
        <sz val="10"/>
        <rFont val="Noto Sans CJK SC"/>
        <family val="2"/>
      </rPr>
      <t xml:space="preserve">補正。高命中、</t>
    </r>
    <r>
      <rPr>
        <sz val="10"/>
        <rFont val="Arial"/>
        <family val="0"/>
        <charset val="1"/>
      </rPr>
      <t xml:space="preserve">VIT</t>
    </r>
    <r>
      <rPr>
        <sz val="10"/>
        <rFont val="Noto Sans CJK SC"/>
        <family val="2"/>
      </rPr>
      <t xml:space="preserve">低下付与。</t>
    </r>
  </si>
  <si>
    <t xml:space="preserve">原作技のアレンジ</t>
  </si>
  <si>
    <t xml:space="preserve">原作では1ヒットの中級突進技。</t>
  </si>
  <si>
    <r>
      <rPr>
        <sz val="10"/>
        <rFont val="Arial"/>
        <family val="0"/>
        <charset val="1"/>
      </rPr>
      <t xml:space="preserve">DEX120%</t>
    </r>
    <r>
      <rPr>
        <sz val="10"/>
        <rFont val="Noto Sans CJK SC"/>
        <family val="2"/>
      </rPr>
      <t xml:space="preserve">補正。高命中、</t>
    </r>
    <r>
      <rPr>
        <sz val="10"/>
        <rFont val="Arial"/>
        <family val="0"/>
        <charset val="1"/>
      </rPr>
      <t xml:space="preserve">AGI</t>
    </r>
    <r>
      <rPr>
        <sz val="10"/>
        <rFont val="Noto Sans CJK SC"/>
        <family val="2"/>
      </rPr>
      <t xml:space="preserve">低下付与。</t>
    </r>
  </si>
  <si>
    <r>
      <rPr>
        <sz val="10"/>
        <rFont val="Arial"/>
        <family val="0"/>
        <charset val="1"/>
      </rPr>
      <t xml:space="preserve">DEX90%+AGI20%</t>
    </r>
    <r>
      <rPr>
        <sz val="10"/>
        <rFont val="Noto Sans CJK SC"/>
        <family val="2"/>
      </rPr>
      <t xml:space="preserve">補正。高命中、出血付与。</t>
    </r>
  </si>
  <si>
    <t xml:space="preserve">原作では詳細不明の技を4連撃として具体化。</t>
  </si>
  <si>
    <r>
      <rPr>
        <sz val="10"/>
        <rFont val="Arial"/>
        <family val="0"/>
        <charset val="1"/>
      </rPr>
      <t xml:space="preserve">AGI90%</t>
    </r>
    <r>
      <rPr>
        <sz val="10"/>
        <rFont val="Noto Sans CJK SC"/>
        <family val="2"/>
      </rPr>
      <t xml:space="preserve">補正。高命中の重攻撃技、</t>
    </r>
    <r>
      <rPr>
        <sz val="10"/>
        <rFont val="Arial"/>
        <family val="0"/>
        <charset val="1"/>
      </rPr>
      <t xml:space="preserve">STR</t>
    </r>
    <r>
      <rPr>
        <sz val="10"/>
        <rFont val="Noto Sans CJK SC"/>
        <family val="2"/>
      </rPr>
      <t xml:space="preserve">低下付与。</t>
    </r>
  </si>
  <si>
    <r>
      <rPr>
        <sz val="10"/>
        <rFont val="Arial"/>
        <family val="0"/>
        <charset val="1"/>
      </rPr>
      <t xml:space="preserve">STR40%+DEX80%</t>
    </r>
    <r>
      <rPr>
        <sz val="10"/>
        <rFont val="Noto Sans CJK SC"/>
        <family val="2"/>
      </rPr>
      <t xml:space="preserve">補正。高命中、麻痺付与。</t>
    </r>
  </si>
  <si>
    <r>
      <rPr>
        <sz val="10"/>
        <rFont val="Arial"/>
        <family val="0"/>
        <charset val="1"/>
      </rPr>
      <t xml:space="preserve">AGI80%+VIT50%</t>
    </r>
    <r>
      <rPr>
        <sz val="10"/>
        <rFont val="Noto Sans CJK SC"/>
        <family val="2"/>
      </rPr>
      <t xml:space="preserve">補正。超高命中、命中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</si>
  <si>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HF</t>
    </r>
    <r>
      <rPr>
        <sz val="10"/>
        <rFont val="Noto Sans CJK SC"/>
        <family val="2"/>
      </rPr>
      <t xml:space="preserve">新規スキル。</t>
    </r>
  </si>
  <si>
    <r>
      <rPr>
        <sz val="10"/>
        <rFont val="Arial"/>
        <family val="0"/>
        <charset val="1"/>
      </rPr>
      <t xml:space="preserve">DEX140%</t>
    </r>
    <r>
      <rPr>
        <sz val="10"/>
        <rFont val="Noto Sans CJK SC"/>
        <family val="2"/>
      </rPr>
      <t xml:space="preserve">補正。背面攻撃量増加、自身防御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</si>
  <si>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DEX120%+AGI50%</t>
    </r>
    <r>
      <rPr>
        <sz val="10"/>
        <rFont val="Noto Sans CJK SC"/>
        <family val="2"/>
      </rPr>
      <t xml:space="preserve">補正。奥義技。</t>
    </r>
  </si>
  <si>
    <t xml:space="preserve">片手剣</t>
  </si>
  <si>
    <r>
      <rPr>
        <sz val="10"/>
        <rFont val="Arial"/>
        <family val="0"/>
        <charset val="1"/>
      </rPr>
      <t xml:space="preserve">AGI40%</t>
    </r>
    <r>
      <rPr>
        <sz val="10"/>
        <rFont val="Noto Sans CJK SC"/>
        <family val="2"/>
      </rPr>
      <t xml:space="preserve">補正。稀に束縛付与。</t>
    </r>
  </si>
  <si>
    <t xml:space="preserve">原作にも登場</t>
  </si>
  <si>
    <r>
      <rPr>
        <sz val="10"/>
        <rFont val="Arial"/>
        <family val="0"/>
        <charset val="1"/>
      </rPr>
      <t xml:space="preserve">STR30%+AGI30%</t>
    </r>
    <r>
      <rPr>
        <sz val="10"/>
        <rFont val="Noto Sans CJK SC"/>
        <family val="2"/>
      </rPr>
      <t xml:space="preserve">補正。高命中の範囲技。</t>
    </r>
  </si>
  <si>
    <t xml:space="preserve">原作では1ヒットの重突き。</t>
  </si>
  <si>
    <r>
      <rPr>
        <sz val="10"/>
        <rFont val="Arial"/>
        <family val="0"/>
        <charset val="1"/>
      </rPr>
      <t xml:space="preserve">STR40%+AGI40%</t>
    </r>
    <r>
      <rPr>
        <sz val="10"/>
        <rFont val="Noto Sans CJK SC"/>
        <family val="2"/>
      </rPr>
      <t xml:space="preserve">補正。暗闇</t>
    </r>
    <r>
      <rPr>
        <sz val="10"/>
        <rFont val="Arial"/>
        <family val="0"/>
        <charset val="1"/>
      </rPr>
      <t xml:space="preserve">Lv2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</si>
  <si>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STR40%+DEX40%</t>
    </r>
    <r>
      <rPr>
        <sz val="10"/>
        <rFont val="Noto Sans CJK SC"/>
        <family val="2"/>
      </rPr>
      <t xml:space="preserve">補正。範囲技、稀に束縛付与。</t>
    </r>
  </si>
  <si>
    <r>
      <rPr>
        <sz val="10"/>
        <rFont val="Arial"/>
        <family val="0"/>
        <charset val="1"/>
      </rPr>
      <t xml:space="preserve">STR40%+VIT40%</t>
    </r>
    <r>
      <rPr>
        <sz val="10"/>
        <rFont val="Noto Sans CJK SC"/>
        <family val="2"/>
      </rPr>
      <t xml:space="preserve">補正。高命中、低スタン。</t>
    </r>
  </si>
  <si>
    <r>
      <rPr>
        <sz val="10"/>
        <rFont val="Arial"/>
        <family val="0"/>
        <charset val="1"/>
      </rPr>
      <t xml:space="preserve">STR40%+DEX30%</t>
    </r>
    <r>
      <rPr>
        <sz val="10"/>
        <rFont val="Noto Sans CJK SC"/>
        <family val="2"/>
      </rPr>
      <t xml:space="preserve">補正。ダブル</t>
    </r>
    <r>
      <rPr>
        <sz val="10"/>
        <rFont val="Arial"/>
        <family val="0"/>
        <charset val="1"/>
      </rPr>
      <t xml:space="preserve">ATK</t>
    </r>
    <r>
      <rPr>
        <sz val="10"/>
        <rFont val="Noto Sans CJK SC"/>
        <family val="2"/>
      </rPr>
      <t xml:space="preserve">。</t>
    </r>
  </si>
  <si>
    <t xml:space="preserve">全ステータス30%補正。高命中、防御力DW付与。</t>
  </si>
  <si>
    <r>
      <rPr>
        <sz val="10"/>
        <rFont val="Arial"/>
        <family val="0"/>
        <charset val="1"/>
      </rPr>
      <t xml:space="preserve">STR30%+DEX50%</t>
    </r>
    <r>
      <rPr>
        <sz val="10"/>
        <rFont val="Noto Sans CJK SC"/>
        <family val="2"/>
      </rPr>
      <t xml:space="preserve">補正。高麻痺付与。</t>
    </r>
  </si>
  <si>
    <t xml:space="preserve">全ステータス60%補正。攻撃&amp;防御力DW。</t>
  </si>
  <si>
    <r>
      <rPr>
        <sz val="10"/>
        <rFont val="Arial"/>
        <family val="0"/>
        <charset val="1"/>
      </rPr>
      <t xml:space="preserve">HF</t>
    </r>
    <r>
      <rPr>
        <sz val="10"/>
        <rFont val="Noto Sans CJK SC"/>
        <family val="2"/>
      </rPr>
      <t xml:space="preserve">新規。原作</t>
    </r>
    <r>
      <rPr>
        <sz val="10"/>
        <rFont val="Arial"/>
        <family val="0"/>
        <charset val="1"/>
      </rPr>
      <t xml:space="preserve">(ALO)</t>
    </r>
    <r>
      <rPr>
        <sz val="10"/>
        <rFont val="Noto Sans CJK SC"/>
        <family val="2"/>
      </rPr>
      <t xml:space="preserve">では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連撃。</t>
    </r>
  </si>
  <si>
    <r>
      <rPr>
        <sz val="10"/>
        <rFont val="Arial"/>
        <family val="0"/>
        <charset val="1"/>
      </rPr>
      <t xml:space="preserve">STR50%+VIT40%</t>
    </r>
    <r>
      <rPr>
        <sz val="10"/>
        <rFont val="Noto Sans CJK SC"/>
        <family val="2"/>
      </rPr>
      <t xml:space="preserve">補正。重攻撃技。</t>
    </r>
  </si>
  <si>
    <t xml:space="preserve">原作では体術との複合7連撃。</t>
  </si>
  <si>
    <r>
      <rPr>
        <sz val="10"/>
        <rFont val="Arial"/>
        <family val="0"/>
        <charset val="1"/>
      </rPr>
      <t xml:space="preserve">VIT120%</t>
    </r>
    <r>
      <rPr>
        <sz val="10"/>
        <rFont val="Noto Sans CJK SC"/>
        <family val="2"/>
      </rPr>
      <t xml:space="preserve">補正。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攻撃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被ダメカット付与、</t>
    </r>
    <r>
      <rPr>
        <sz val="10"/>
        <rFont val="Arial"/>
        <family val="0"/>
        <charset val="1"/>
      </rPr>
      <t xml:space="preserve">BST&amp;SP</t>
    </r>
    <r>
      <rPr>
        <sz val="10"/>
        <rFont val="Noto Sans CJK SC"/>
        <family val="2"/>
      </rPr>
      <t xml:space="preserve">減。</t>
    </r>
  </si>
  <si>
    <r>
      <rPr>
        <sz val="10"/>
        <rFont val="Arial"/>
        <family val="0"/>
        <charset val="1"/>
      </rPr>
      <t xml:space="preserve">DEX130%+AGI120%</t>
    </r>
    <r>
      <rPr>
        <sz val="10"/>
        <rFont val="Noto Sans CJK SC"/>
        <family val="2"/>
      </rPr>
      <t xml:space="preserve">補正。奥義技。</t>
    </r>
  </si>
  <si>
    <r>
      <rPr>
        <sz val="10"/>
        <rFont val="Arial"/>
        <family val="0"/>
        <charset val="1"/>
      </rPr>
      <t xml:space="preserve">STR50%</t>
    </r>
    <r>
      <rPr>
        <sz val="10"/>
        <rFont val="Noto Sans CJK SC"/>
        <family val="2"/>
      </rPr>
      <t xml:space="preserve">補正。高命中の範囲技、稀に束縛付与。</t>
    </r>
  </si>
  <si>
    <r>
      <rPr>
        <sz val="10"/>
        <rFont val="Arial"/>
        <family val="0"/>
        <charset val="1"/>
      </rPr>
      <t xml:space="preserve">STR60%</t>
    </r>
    <r>
      <rPr>
        <sz val="10"/>
        <rFont val="Noto Sans CJK SC"/>
        <family val="2"/>
      </rPr>
      <t xml:space="preserve">補正。範囲技、出血付与。</t>
    </r>
  </si>
  <si>
    <t xml:space="preserve">原作では1ヒットの基本技。</t>
  </si>
  <si>
    <r>
      <rPr>
        <sz val="10"/>
        <rFont val="Arial"/>
        <family val="0"/>
        <charset val="1"/>
      </rPr>
      <t xml:space="preserve">STR70%</t>
    </r>
    <r>
      <rPr>
        <sz val="10"/>
        <rFont val="Noto Sans CJK SC"/>
        <family val="2"/>
      </rPr>
      <t xml:space="preserve">補正。低スタン。</t>
    </r>
  </si>
  <si>
    <r>
      <rPr>
        <sz val="10"/>
        <rFont val="Arial"/>
        <family val="0"/>
        <charset val="1"/>
      </rPr>
      <t xml:space="preserve">STR50%+AGI30%</t>
    </r>
    <r>
      <rPr>
        <sz val="10"/>
        <rFont val="Noto Sans CJK SC"/>
        <family val="2"/>
      </rPr>
      <t xml:space="preserve">補正。範囲重攻撃技。</t>
    </r>
  </si>
  <si>
    <t xml:space="preserve">全ステータス30%補正。範囲技。</t>
  </si>
  <si>
    <r>
      <rPr>
        <sz val="10"/>
        <rFont val="Arial"/>
        <family val="0"/>
        <charset val="1"/>
      </rPr>
      <t xml:space="preserve">STR80%</t>
    </r>
    <r>
      <rPr>
        <sz val="10"/>
        <rFont val="Noto Sans CJK SC"/>
        <family val="2"/>
      </rPr>
      <t xml:space="preserve">補正。範囲技、回避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</si>
  <si>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STR50%+VIT40%</t>
    </r>
    <r>
      <rPr>
        <sz val="10"/>
        <rFont val="Noto Sans CJK SC"/>
        <family val="2"/>
      </rPr>
      <t xml:space="preserve">補正。高命中。</t>
    </r>
  </si>
  <si>
    <r>
      <rPr>
        <sz val="10"/>
        <rFont val="Arial"/>
        <family val="0"/>
        <charset val="1"/>
      </rPr>
      <t xml:space="preserve">STR50%+AGI50%</t>
    </r>
    <r>
      <rPr>
        <sz val="10"/>
        <rFont val="Noto Sans CJK SC"/>
        <family val="2"/>
      </rPr>
      <t xml:space="preserve">補正。重攻撃技。</t>
    </r>
  </si>
  <si>
    <r>
      <rPr>
        <sz val="10"/>
        <rFont val="Arial"/>
        <family val="0"/>
        <charset val="1"/>
      </rPr>
      <t xml:space="preserve">DEX60%+AGI60%</t>
    </r>
    <r>
      <rPr>
        <sz val="10"/>
        <rFont val="Noto Sans CJK SC"/>
        <family val="2"/>
      </rPr>
      <t xml:space="preserve">補正。高命中、防御力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</si>
  <si>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STR60%+VIT60%</t>
    </r>
    <r>
      <rPr>
        <sz val="10"/>
        <rFont val="Noto Sans CJK SC"/>
        <family val="2"/>
      </rPr>
      <t xml:space="preserve">補正。自身リスク低減効果。</t>
    </r>
  </si>
  <si>
    <r>
      <rPr>
        <sz val="10"/>
        <rFont val="Arial"/>
        <family val="0"/>
        <charset val="1"/>
      </rPr>
      <t xml:space="preserve">STR70%+VIT70%</t>
    </r>
    <r>
      <rPr>
        <sz val="10"/>
        <rFont val="Noto Sans CJK SC"/>
        <family val="2"/>
      </rPr>
      <t xml:space="preserve">補正。奥義技、出血付与。</t>
    </r>
  </si>
  <si>
    <r>
      <rPr>
        <sz val="10"/>
        <rFont val="Arial"/>
        <family val="0"/>
        <charset val="1"/>
      </rPr>
      <t xml:space="preserve">DEX50%</t>
    </r>
    <r>
      <rPr>
        <sz val="10"/>
        <rFont val="Noto Sans CJK SC"/>
        <family val="2"/>
      </rPr>
      <t xml:space="preserve">補正。範囲技、稀に束縛付与。</t>
    </r>
  </si>
  <si>
    <r>
      <rPr>
        <sz val="10"/>
        <rFont val="Arial"/>
        <family val="0"/>
        <charset val="1"/>
      </rPr>
      <t xml:space="preserve">DEX30%+AGI30%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</si>
  <si>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DEX20%+AGI40%</t>
    </r>
    <r>
      <rPr>
        <sz val="10"/>
        <rFont val="Noto Sans CJK SC"/>
        <family val="2"/>
      </rPr>
      <t xml:space="preserve">補正。低スタン。</t>
    </r>
  </si>
  <si>
    <t xml:space="preserve">前作インフィニティ・モーメント由来。</t>
  </si>
  <si>
    <r>
      <rPr>
        <sz val="10"/>
        <rFont val="Arial"/>
        <family val="0"/>
        <charset val="1"/>
      </rPr>
      <t xml:space="preserve">DEX30%+AGI30%</t>
    </r>
    <r>
      <rPr>
        <sz val="10"/>
        <rFont val="Noto Sans CJK SC"/>
        <family val="2"/>
      </rPr>
      <t xml:space="preserve">補正。重攻撃技。</t>
    </r>
  </si>
  <si>
    <r>
      <rPr>
        <sz val="10"/>
        <rFont val="Arial"/>
        <family val="0"/>
        <charset val="1"/>
      </rPr>
      <t xml:space="preserve">DEX30%+AGI40%</t>
    </r>
    <r>
      <rPr>
        <sz val="10"/>
        <rFont val="Noto Sans CJK SC"/>
        <family val="2"/>
      </rPr>
      <t xml:space="preserve">補正。攻撃速度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</si>
  <si>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DEX30%+AGI50%</t>
    </r>
    <r>
      <rPr>
        <sz val="10"/>
        <rFont val="Noto Sans CJK SC"/>
        <family val="2"/>
      </rPr>
      <t xml:space="preserve">補正。範囲技、暗闇</t>
    </r>
    <r>
      <rPr>
        <sz val="10"/>
        <rFont val="Arial"/>
        <family val="0"/>
        <charset val="1"/>
      </rPr>
      <t xml:space="preserve">Lv1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</si>
  <si>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DEX10%+AGI70%</t>
    </r>
    <r>
      <rPr>
        <sz val="10"/>
        <rFont val="Noto Sans CJK SC"/>
        <family val="2"/>
      </rPr>
      <t xml:space="preserve">補正。重攻撃技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追撃増加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</si>
  <si>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AGI80%</t>
    </r>
    <r>
      <rPr>
        <sz val="10"/>
        <rFont val="Noto Sans CJK SC"/>
        <family val="2"/>
      </rPr>
      <t xml:space="preserve">補正。高命中、防御力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</si>
  <si>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STR120%</t>
    </r>
    <r>
      <rPr>
        <sz val="10"/>
        <rFont val="Noto Sans CJK SC"/>
        <family val="2"/>
      </rPr>
      <t xml:space="preserve">補正。重突進攻撃、攻撃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回避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</si>
  <si>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t xml:space="preserve">全ステータス40%補正。範囲重攻撃技、回避DW付与。</t>
  </si>
  <si>
    <r>
      <rPr>
        <sz val="10"/>
        <rFont val="Arial"/>
        <family val="0"/>
        <charset val="1"/>
      </rPr>
      <t xml:space="preserve">AGI100%</t>
    </r>
    <r>
      <rPr>
        <sz val="10"/>
        <rFont val="Noto Sans CJK SC"/>
        <family val="2"/>
      </rPr>
      <t xml:space="preserve">補正。多段多重攻撃、自身高速化。</t>
    </r>
  </si>
  <si>
    <r>
      <rPr>
        <sz val="10"/>
        <rFont val="Arial"/>
        <family val="0"/>
        <charset val="1"/>
      </rPr>
      <t xml:space="preserve">DEX40%+AGI140%</t>
    </r>
    <r>
      <rPr>
        <sz val="10"/>
        <rFont val="Noto Sans CJK SC"/>
        <family val="2"/>
      </rPr>
      <t xml:space="preserve">補正。奥義技。</t>
    </r>
  </si>
  <si>
    <t xml:space="preserve">原作では1ヒットの超高速突進。</t>
  </si>
  <si>
    <t xml:space="preserve">二刀流</t>
  </si>
  <si>
    <r>
      <rPr>
        <sz val="10"/>
        <rFont val="Arial"/>
        <family val="0"/>
        <charset val="1"/>
      </rPr>
      <t xml:space="preserve">AGI40%</t>
    </r>
    <r>
      <rPr>
        <sz val="10"/>
        <rFont val="Noto Sans CJK SC"/>
        <family val="2"/>
      </rPr>
      <t xml:space="preserve">補正。範囲技、稀に束縛付与。</t>
    </r>
  </si>
  <si>
    <r>
      <rPr>
        <sz val="10"/>
        <rFont val="Arial"/>
        <family val="0"/>
        <charset val="1"/>
      </rPr>
      <t xml:space="preserve">DEX40%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</si>
  <si>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STR30%+AGI20%</t>
    </r>
    <r>
      <rPr>
        <sz val="10"/>
        <rFont val="Noto Sans CJK SC"/>
        <family val="2"/>
      </rPr>
      <t xml:space="preserve">補正。麻痺付与。</t>
    </r>
  </si>
  <si>
    <r>
      <rPr>
        <sz val="10"/>
        <rFont val="Arial"/>
        <family val="0"/>
        <charset val="1"/>
      </rPr>
      <t xml:space="preserve">STR70%</t>
    </r>
    <r>
      <rPr>
        <sz val="10"/>
        <rFont val="Noto Sans CJK SC"/>
        <family val="2"/>
      </rPr>
      <t xml:space="preserve">補正。防御力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</si>
  <si>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t xml:space="preserve">全ステータス20%補正。攻撃力DW付与。</t>
  </si>
  <si>
    <r>
      <rPr>
        <sz val="10"/>
        <rFont val="Arial"/>
        <family val="0"/>
        <charset val="1"/>
      </rPr>
      <t xml:space="preserve">DEX20%+AGI40%</t>
    </r>
    <r>
      <rPr>
        <sz val="10"/>
        <rFont val="Noto Sans CJK SC"/>
        <family val="2"/>
      </rPr>
      <t xml:space="preserve">補正。暗闇</t>
    </r>
    <r>
      <rPr>
        <sz val="10"/>
        <rFont val="Arial"/>
        <family val="0"/>
        <charset val="1"/>
      </rPr>
      <t xml:space="preserve">Lv1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</si>
  <si>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DEX80%</t>
    </r>
    <r>
      <rPr>
        <sz val="10"/>
        <rFont val="Noto Sans CJK SC"/>
        <family val="2"/>
      </rPr>
      <t xml:space="preserve">補正。重攻撃技。</t>
    </r>
  </si>
  <si>
    <r>
      <rPr>
        <sz val="10"/>
        <rFont val="Arial"/>
        <family val="0"/>
        <charset val="1"/>
      </rPr>
      <t xml:space="preserve">STR30%+DEX60%</t>
    </r>
    <r>
      <rPr>
        <sz val="10"/>
        <rFont val="Noto Sans CJK SC"/>
        <family val="2"/>
      </rPr>
      <t xml:space="preserve">補正。高命中技。</t>
    </r>
  </si>
  <si>
    <r>
      <rPr>
        <sz val="10"/>
        <rFont val="Arial"/>
        <family val="0"/>
        <charset val="1"/>
      </rPr>
      <t xml:space="preserve">DEX50%+AGI30%</t>
    </r>
    <r>
      <rPr>
        <sz val="10"/>
        <rFont val="Noto Sans CJK SC"/>
        <family val="2"/>
      </rPr>
      <t xml:space="preserve">補正。奥義技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攻撃速度</t>
    </r>
    <r>
      <rPr>
        <sz val="10"/>
        <rFont val="Arial"/>
        <family val="0"/>
        <charset val="1"/>
      </rPr>
      <t xml:space="preserve">UP)</t>
    </r>
    <r>
      <rPr>
        <sz val="10"/>
        <rFont val="Noto Sans CJK SC"/>
        <family val="2"/>
      </rPr>
      <t xml:space="preserve">。</t>
    </r>
  </si>
  <si>
    <t xml:space="preserve">ヒット数は原作準拠の16連撃。</t>
  </si>
  <si>
    <r>
      <rPr>
        <sz val="10"/>
        <rFont val="Arial"/>
        <family val="0"/>
        <charset val="1"/>
      </rPr>
      <t xml:space="preserve">STR60%+AGI20%</t>
    </r>
    <r>
      <rPr>
        <sz val="10"/>
        <rFont val="Noto Sans CJK SC"/>
        <family val="2"/>
      </rPr>
      <t xml:space="preserve">補正。高命中技。</t>
    </r>
  </si>
  <si>
    <r>
      <rPr>
        <sz val="10"/>
        <rFont val="Arial"/>
        <family val="0"/>
        <charset val="1"/>
      </rPr>
      <t xml:space="preserve">DEX80%</t>
    </r>
    <r>
      <rPr>
        <sz val="10"/>
        <rFont val="Noto Sans CJK SC"/>
        <family val="2"/>
      </rPr>
      <t xml:space="preserve">補正。ヒット時バーストゲージ回復。</t>
    </r>
  </si>
  <si>
    <r>
      <rPr>
        <sz val="10"/>
        <rFont val="Arial"/>
        <family val="0"/>
        <charset val="1"/>
      </rPr>
      <t xml:space="preserve">AGI80%</t>
    </r>
    <r>
      <rPr>
        <sz val="10"/>
        <rFont val="Noto Sans CJK SC"/>
        <family val="2"/>
      </rPr>
      <t xml:space="preserve">補正。奥義技。</t>
    </r>
  </si>
  <si>
    <t xml:space="preserve">ヒット数は原作準拠の27連撃。</t>
  </si>
  <si>
    <r>
      <rPr>
        <sz val="10"/>
        <rFont val="Arial"/>
        <family val="0"/>
        <charset val="1"/>
      </rPr>
      <t xml:space="preserve">STR50%+DEX50%</t>
    </r>
    <r>
      <rPr>
        <sz val="10"/>
        <rFont val="Noto Sans CJK SC"/>
        <family val="2"/>
      </rPr>
      <t xml:space="preserve">補正。範囲技、稀に束縛付与。</t>
    </r>
  </si>
  <si>
    <r>
      <rPr>
        <sz val="10"/>
        <rFont val="Arial"/>
        <family val="0"/>
        <charset val="1"/>
      </rPr>
      <t xml:space="preserve">STR100%</t>
    </r>
    <r>
      <rPr>
        <sz val="10"/>
        <rFont val="Noto Sans CJK SC"/>
        <family val="2"/>
      </rPr>
      <t xml:space="preserve">補正。範囲技、低スタン。</t>
    </r>
  </si>
  <si>
    <r>
      <rPr>
        <sz val="10"/>
        <rFont val="Arial"/>
        <family val="0"/>
        <charset val="1"/>
      </rPr>
      <t xml:space="preserve">AGI40%+VIT60%</t>
    </r>
    <r>
      <rPr>
        <sz val="10"/>
        <rFont val="Noto Sans CJK SC"/>
        <family val="2"/>
      </rPr>
      <t xml:space="preserve">補正。高命中、低スタン。</t>
    </r>
  </si>
  <si>
    <r>
      <rPr>
        <sz val="10"/>
        <rFont val="Arial"/>
        <family val="0"/>
        <charset val="1"/>
      </rPr>
      <t xml:space="preserve">STR60%+DEX50%</t>
    </r>
    <r>
      <rPr>
        <sz val="10"/>
        <rFont val="Noto Sans CJK SC"/>
        <family val="2"/>
      </rPr>
      <t xml:space="preserve">補正。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減少付与、スタン。</t>
    </r>
  </si>
  <si>
    <r>
      <rPr>
        <sz val="10"/>
        <rFont val="Arial"/>
        <family val="0"/>
        <charset val="1"/>
      </rPr>
      <t xml:space="preserve">STR30%+VIT80%</t>
    </r>
    <r>
      <rPr>
        <sz val="10"/>
        <rFont val="Noto Sans CJK SC"/>
        <family val="2"/>
      </rPr>
      <t xml:space="preserve">補正。</t>
    </r>
    <r>
      <rPr>
        <sz val="10"/>
        <rFont val="Arial"/>
        <family val="0"/>
        <charset val="1"/>
      </rPr>
      <t xml:space="preserve">SPMAX 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</si>
  <si>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STR110%</t>
    </r>
    <r>
      <rPr>
        <sz val="10"/>
        <rFont val="Noto Sans CJK SC"/>
        <family val="2"/>
      </rPr>
      <t xml:space="preserve">補正。リスク増加付与、低スタン。</t>
    </r>
  </si>
  <si>
    <r>
      <rPr>
        <sz val="10"/>
        <rFont val="Arial"/>
        <family val="0"/>
        <charset val="1"/>
      </rPr>
      <t xml:space="preserve">AGI50%+VIT60%</t>
    </r>
    <r>
      <rPr>
        <sz val="10"/>
        <rFont val="Noto Sans CJK SC"/>
        <family val="2"/>
      </rPr>
      <t xml:space="preserve">補正。リスク増加付与。</t>
    </r>
  </si>
  <si>
    <r>
      <rPr>
        <sz val="10"/>
        <rFont val="Arial"/>
        <family val="0"/>
        <charset val="1"/>
      </rPr>
      <t xml:space="preserve">AGI60%+VIT50%</t>
    </r>
    <r>
      <rPr>
        <sz val="10"/>
        <rFont val="Noto Sans CJK SC"/>
        <family val="2"/>
      </rPr>
      <t xml:space="preserve">補正。重攻撃技。</t>
    </r>
  </si>
  <si>
    <r>
      <rPr>
        <sz val="10"/>
        <rFont val="Arial"/>
        <family val="0"/>
        <charset val="1"/>
      </rPr>
      <t xml:space="preserve">VIT110%</t>
    </r>
    <r>
      <rPr>
        <sz val="10"/>
        <rFont val="Noto Sans CJK SC"/>
        <family val="2"/>
      </rPr>
      <t xml:space="preserve">補正。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リジェネ、攻撃間隔短縮、防御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</si>
  <si>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STR70%+VIT40%</t>
    </r>
    <r>
      <rPr>
        <sz val="10"/>
        <rFont val="Noto Sans CJK SC"/>
        <family val="2"/>
      </rPr>
      <t xml:space="preserve">補正。行動阻害技。</t>
    </r>
  </si>
  <si>
    <r>
      <rPr>
        <sz val="10"/>
        <rFont val="Arial"/>
        <family val="0"/>
        <charset val="1"/>
      </rPr>
      <t xml:space="preserve">AGI70%+VIT60%</t>
    </r>
    <r>
      <rPr>
        <sz val="10"/>
        <rFont val="Noto Sans CJK SC"/>
        <family val="2"/>
      </rPr>
      <t xml:space="preserve">補正。奥義技。</t>
    </r>
  </si>
  <si>
    <t xml:space="preserve">ワール・ウィンド</t>
  </si>
  <si>
    <r>
      <rPr>
        <sz val="10"/>
        <rFont val="Arial"/>
        <family val="0"/>
        <charset val="1"/>
      </rPr>
      <t xml:space="preserve">STR50%+VIT50%</t>
    </r>
    <r>
      <rPr>
        <sz val="10"/>
        <rFont val="Noto Sans CJK SC"/>
        <family val="2"/>
      </rPr>
      <t xml:space="preserve">補正。全方位範囲技。</t>
    </r>
  </si>
  <si>
    <t xml:space="preserve">原作では1ヒットの回転薙ぎ。</t>
  </si>
  <si>
    <r>
      <rPr>
        <sz val="10"/>
        <rFont val="Arial"/>
        <family val="0"/>
        <charset val="1"/>
      </rPr>
      <t xml:space="preserve">STR30%+VIT30%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</si>
  <si>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AGI30%+VIT50%</t>
    </r>
    <r>
      <rPr>
        <sz val="10"/>
        <rFont val="Noto Sans CJK SC"/>
        <family val="2"/>
      </rPr>
      <t xml:space="preserve">補正。範囲技。</t>
    </r>
  </si>
  <si>
    <r>
      <rPr>
        <sz val="10"/>
        <rFont val="Arial"/>
        <family val="0"/>
        <charset val="1"/>
      </rPr>
      <t xml:space="preserve">STR120%</t>
    </r>
    <r>
      <rPr>
        <sz val="10"/>
        <rFont val="Noto Sans CJK SC"/>
        <family val="2"/>
      </rPr>
      <t xml:space="preserve">補正。回避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付与。</t>
    </r>
  </si>
  <si>
    <r>
      <rPr>
        <sz val="10"/>
        <rFont val="Arial"/>
        <family val="0"/>
        <charset val="1"/>
      </rPr>
      <t xml:space="preserve">STR130%</t>
    </r>
    <r>
      <rPr>
        <sz val="10"/>
        <rFont val="Noto Sans CJK SC"/>
        <family val="2"/>
      </rPr>
      <t xml:space="preserve">補正。低スタン。</t>
    </r>
  </si>
  <si>
    <r>
      <rPr>
        <sz val="10"/>
        <rFont val="Arial"/>
        <family val="0"/>
        <charset val="1"/>
      </rPr>
      <t xml:space="preserve">STR90%</t>
    </r>
    <r>
      <rPr>
        <sz val="10"/>
        <rFont val="Noto Sans CJK SC"/>
        <family val="2"/>
      </rPr>
      <t xml:space="preserve">補正。重攻撃技。</t>
    </r>
  </si>
  <si>
    <t xml:space="preserve">名称は原作両手剣技アバランシュを想起させるがゲーム独自。</t>
  </si>
  <si>
    <t xml:space="preserve">全ステータス40%補正。防御力DW付与。</t>
  </si>
  <si>
    <r>
      <rPr>
        <sz val="10"/>
        <rFont val="Arial"/>
        <family val="0"/>
        <charset val="1"/>
      </rPr>
      <t xml:space="preserve">STR80%+VIT80%</t>
    </r>
    <r>
      <rPr>
        <sz val="10"/>
        <rFont val="Noto Sans CJK SC"/>
        <family val="2"/>
      </rPr>
      <t xml:space="preserve">補正。超重攻撃技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低命中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</si>
  <si>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STR150%</t>
    </r>
    <r>
      <rPr>
        <sz val="10"/>
        <rFont val="Noto Sans CJK SC"/>
        <family val="2"/>
      </rPr>
      <t xml:space="preserve">補正。超命中技。</t>
    </r>
  </si>
  <si>
    <r>
      <rPr>
        <sz val="10"/>
        <rFont val="Arial"/>
        <family val="0"/>
        <charset val="1"/>
      </rPr>
      <t xml:space="preserve">VIT140%</t>
    </r>
    <r>
      <rPr>
        <sz val="10"/>
        <rFont val="Noto Sans CJK SC"/>
        <family val="2"/>
      </rPr>
      <t xml:space="preserve">補正。</t>
    </r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比率ダメージ、</t>
    </r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上昇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自身出血。</t>
    </r>
  </si>
  <si>
    <r>
      <rPr>
        <sz val="10"/>
        <rFont val="Arial"/>
        <family val="0"/>
        <charset val="1"/>
      </rPr>
      <t xml:space="preserve">STR80%+VIT80%</t>
    </r>
    <r>
      <rPr>
        <sz val="10"/>
        <rFont val="Noto Sans CJK SC"/>
        <family val="2"/>
      </rPr>
      <t xml:space="preserve">補正。奥義技。</t>
    </r>
  </si>
  <si>
    <t xml:space="preserve">全ステータス15%補正。高命中範囲技、麻痺付与。</t>
  </si>
  <si>
    <t xml:space="preserve">全ステータス15%補正。全方位範囲技。</t>
  </si>
  <si>
    <t xml:space="preserve">全ステータス20%補正。範囲技、攻撃速度DW付与。</t>
  </si>
  <si>
    <t xml:space="preserve">全ステータス25%補正。範囲技、暗闇Lv3付与。</t>
  </si>
  <si>
    <t xml:space="preserve">全ステータス30%補正。範囲技、攻撃力DW付与。</t>
  </si>
  <si>
    <t xml:space="preserve">全ステータス30%補正。範囲技、回避DW付与。</t>
  </si>
  <si>
    <t xml:space="preserve">全ステータス40%補正。範囲技、防御DW付与。</t>
  </si>
  <si>
    <t xml:space="preserve">全ステータス40%補正。命中DW付与、スタン。</t>
  </si>
  <si>
    <t xml:space="preserve">全ステータス35%補正。攻撃力DW付与、状態異常命中+。</t>
  </si>
  <si>
    <t xml:space="preserve">全ステータス45%補正。奥義技。</t>
  </si>
  <si>
    <r>
      <rPr>
        <sz val="10"/>
        <rFont val="Arial"/>
        <family val="0"/>
        <charset val="1"/>
      </rPr>
      <t xml:space="preserve">DEX100%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</si>
  <si>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STR50%+VIT50%</t>
    </r>
    <r>
      <rPr>
        <sz val="10"/>
        <rFont val="Noto Sans CJK SC"/>
        <family val="2"/>
      </rPr>
      <t xml:space="preserve">補正。範囲技、出血付与。</t>
    </r>
  </si>
  <si>
    <r>
      <rPr>
        <sz val="10"/>
        <rFont val="Arial"/>
        <family val="0"/>
        <charset val="1"/>
      </rPr>
      <t xml:space="preserve">STR50%+DEX60%</t>
    </r>
    <r>
      <rPr>
        <sz val="10"/>
        <rFont val="Noto Sans CJK SC"/>
        <family val="2"/>
      </rPr>
      <t xml:space="preserve">補正。リスク増加、出血付与。</t>
    </r>
  </si>
  <si>
    <r>
      <rPr>
        <sz val="10"/>
        <rFont val="Arial"/>
        <family val="0"/>
        <charset val="1"/>
      </rPr>
      <t xml:space="preserve">DEX50%+AGI60%</t>
    </r>
    <r>
      <rPr>
        <sz val="10"/>
        <rFont val="Noto Sans CJK SC"/>
        <family val="2"/>
      </rPr>
      <t xml:space="preserve">補正。低スタン、出血付与。</t>
    </r>
  </si>
  <si>
    <r>
      <rPr>
        <sz val="10"/>
        <rFont val="Arial"/>
        <family val="0"/>
        <charset val="1"/>
      </rPr>
      <t xml:space="preserve">DEX50%+AGI60%</t>
    </r>
    <r>
      <rPr>
        <sz val="10"/>
        <rFont val="Noto Sans CJK SC"/>
        <family val="2"/>
      </rPr>
      <t xml:space="preserve">補正。暗闇</t>
    </r>
    <r>
      <rPr>
        <sz val="10"/>
        <rFont val="Arial"/>
        <family val="0"/>
        <charset val="1"/>
      </rPr>
      <t xml:space="preserve">Lv2</t>
    </r>
    <r>
      <rPr>
        <sz val="10"/>
        <rFont val="Noto Sans CJK SC"/>
        <family val="2"/>
      </rPr>
      <t xml:space="preserve">、出血付与。</t>
    </r>
  </si>
  <si>
    <t xml:space="preserve">原作では1ヒットの半円軌道。</t>
  </si>
  <si>
    <r>
      <rPr>
        <sz val="10"/>
        <rFont val="Arial"/>
        <family val="0"/>
        <charset val="1"/>
      </rPr>
      <t xml:space="preserve">STR70%+DEX40%</t>
    </r>
    <r>
      <rPr>
        <sz val="10"/>
        <rFont val="Noto Sans CJK SC"/>
        <family val="2"/>
      </rPr>
      <t xml:space="preserve">補正。出血付与。</t>
    </r>
  </si>
  <si>
    <r>
      <rPr>
        <sz val="10"/>
        <rFont val="Arial"/>
        <family val="0"/>
        <charset val="1"/>
      </rPr>
      <t xml:space="preserve">STR60%+VIT60%</t>
    </r>
    <r>
      <rPr>
        <sz val="10"/>
        <rFont val="Noto Sans CJK SC"/>
        <family val="2"/>
      </rPr>
      <t xml:space="preserve">補正。防御力</t>
    </r>
    <r>
      <rPr>
        <sz val="10"/>
        <rFont val="Arial"/>
        <family val="0"/>
        <charset val="1"/>
      </rPr>
      <t xml:space="preserve">DW</t>
    </r>
    <r>
      <rPr>
        <sz val="10"/>
        <rFont val="Noto Sans CJK SC"/>
        <family val="2"/>
      </rPr>
      <t xml:space="preserve">、出血付与。</t>
    </r>
  </si>
  <si>
    <r>
      <rPr>
        <sz val="10"/>
        <rFont val="Arial"/>
        <family val="0"/>
        <charset val="1"/>
      </rPr>
      <t xml:space="preserve">STR150%</t>
    </r>
    <r>
      <rPr>
        <sz val="10"/>
        <rFont val="Noto Sans CJK SC"/>
        <family val="2"/>
      </rPr>
      <t xml:space="preserve">補正。ヒット時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回復</t>
    </r>
    <r>
      <rPr>
        <sz val="10"/>
        <rFont val="Arial"/>
        <family val="0"/>
        <charset val="1"/>
      </rPr>
      <t xml:space="preserve">&amp;BST</t>
    </r>
    <r>
      <rPr>
        <sz val="10"/>
        <rFont val="Noto Sans CJK SC"/>
        <family val="2"/>
      </rPr>
      <t xml:space="preserve">遅延。</t>
    </r>
  </si>
  <si>
    <t xml:space="preserve">全ステータス50%補正。高命中技、回避DW、出血付与。</t>
  </si>
  <si>
    <r>
      <rPr>
        <sz val="10"/>
        <rFont val="Arial"/>
        <family val="0"/>
        <charset val="1"/>
      </rPr>
      <t xml:space="preserve">STR50%+DEX90%</t>
    </r>
    <r>
      <rPr>
        <sz val="10"/>
        <rFont val="Noto Sans CJK SC"/>
        <family val="2"/>
      </rPr>
      <t xml:space="preserve">補正。奥義技、出血付与。</t>
    </r>
  </si>
  <si>
    <r>
      <rPr>
        <sz val="10"/>
        <rFont val="Arial"/>
        <family val="0"/>
        <charset val="1"/>
      </rPr>
      <t xml:space="preserve">STR50%+AGI50%</t>
    </r>
    <r>
      <rPr>
        <sz val="10"/>
        <rFont val="Noto Sans CJK SC"/>
        <family val="2"/>
      </rPr>
      <t xml:space="preserve">補正。高命中の範囲技。</t>
    </r>
  </si>
  <si>
    <r>
      <rPr>
        <sz val="10"/>
        <rFont val="Arial"/>
        <family val="0"/>
        <charset val="1"/>
      </rPr>
      <t xml:space="preserve">STR50%+VIT50%</t>
    </r>
    <r>
      <rPr>
        <sz val="10"/>
        <rFont val="Noto Sans CJK SC"/>
        <family val="2"/>
      </rPr>
      <t xml:space="preserve">補正。全方位範囲技、低スタン。</t>
    </r>
  </si>
  <si>
    <r>
      <rPr>
        <sz val="10"/>
        <rFont val="Arial"/>
        <family val="0"/>
        <charset val="1"/>
      </rPr>
      <t xml:space="preserve">STR50%+AGI60%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カウンター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</si>
  <si>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STR60%+AGI50%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ダブル</t>
    </r>
    <r>
      <rPr>
        <sz val="10"/>
        <rFont val="Arial"/>
        <family val="0"/>
        <charset val="1"/>
      </rPr>
      <t xml:space="preserve">ATK)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</si>
  <si>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STR80%+VIT40%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攻撃力</t>
    </r>
    <r>
      <rPr>
        <sz val="10"/>
        <rFont val="Arial"/>
        <family val="0"/>
        <charset val="1"/>
      </rPr>
      <t xml:space="preserve">UP)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</si>
  <si>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STR60%+DEX60%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追撃増加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</si>
  <si>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STR70%+AGI60%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必中持続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</si>
  <si>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原作では体術との複合2ヒット技。</t>
  </si>
  <si>
    <r>
      <rPr>
        <sz val="10"/>
        <rFont val="Arial"/>
        <family val="0"/>
        <charset val="1"/>
      </rPr>
      <t xml:space="preserve">AGI60%+VIT70%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(SP</t>
    </r>
    <r>
      <rPr>
        <sz val="10"/>
        <rFont val="Noto Sans CJK SC"/>
        <family val="2"/>
      </rPr>
      <t xml:space="preserve">攻</t>
    </r>
    <r>
      <rPr>
        <sz val="10"/>
        <rFont val="Arial"/>
        <family val="0"/>
        <charset val="1"/>
      </rPr>
      <t xml:space="preserve">UP)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</si>
  <si>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STR60%+DEX50%</t>
    </r>
    <r>
      <rPr>
        <sz val="10"/>
        <rFont val="Noto Sans CJK SC"/>
        <family val="2"/>
      </rPr>
      <t xml:space="preserve">補正。範囲技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攻撃速度</t>
    </r>
    <r>
      <rPr>
        <sz val="10"/>
        <rFont val="Arial"/>
        <family val="0"/>
        <charset val="1"/>
      </rPr>
      <t xml:space="preserve">UP)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</si>
  <si>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DEX100%</t>
    </r>
    <r>
      <rPr>
        <sz val="10"/>
        <rFont val="Noto Sans CJK SC"/>
        <family val="2"/>
      </rPr>
      <t xml:space="preserve">補正。範囲技。</t>
    </r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半減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吸収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ダメージ反射。</t>
    </r>
  </si>
  <si>
    <r>
      <rPr>
        <sz val="10"/>
        <rFont val="Arial"/>
        <family val="0"/>
        <charset val="1"/>
      </rPr>
      <t xml:space="preserve">STR70%+AGI70%</t>
    </r>
    <r>
      <rPr>
        <sz val="10"/>
        <rFont val="Noto Sans CJK SC"/>
        <family val="2"/>
      </rPr>
      <t xml:space="preserve">補正。奥義技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物理バリア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</si>
  <si>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エコーズ オブ アインクラッド(2026)</t>
  </si>
  <si>
    <t xml:space="preserve">斜めに振り下ろすクラッシュ攻撃(200+ATK100%)。</t>
  </si>
  <si>
    <r>
      <rPr>
        <sz val="10"/>
        <rFont val="Arial"/>
        <family val="0"/>
        <charset val="1"/>
      </rPr>
      <t xml:space="preserve">CT20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</t>
    </r>
  </si>
  <si>
    <t xml:space="preserve">垂直に振り下ろす切断攻撃(220+ATK100%)。</t>
  </si>
  <si>
    <r>
      <rPr>
        <sz val="10"/>
        <rFont val="Arial"/>
        <family val="0"/>
        <charset val="1"/>
      </rPr>
      <t xml:space="preserve">CT20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2</t>
    </r>
  </si>
  <si>
    <t xml:space="preserve">水平に振る広範囲の剣撃(180+ATK100%)。</t>
  </si>
  <si>
    <r>
      <rPr>
        <sz val="10"/>
        <rFont val="Arial"/>
        <family val="0"/>
        <charset val="1"/>
      </rPr>
      <t xml:space="preserve">CT25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3</t>
    </r>
  </si>
  <si>
    <t xml:space="preserve">レイジスパイク</t>
  </si>
  <si>
    <t xml:space="preserve">素早い突進からのクラッシュ攻撃(200+ATK250%)。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</si>
  <si>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</t>
    </r>
  </si>
  <si>
    <t xml:space="preserve">シャープネイル</t>
  </si>
  <si>
    <t xml:space="preserve">射程の長い垂直三連の切断攻撃(50/70/90+各ATK200%)。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</si>
  <si>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 / </t>
    </r>
    <r>
      <rPr>
        <sz val="10"/>
        <rFont val="Noto Sans CJK SC"/>
        <family val="2"/>
      </rPr>
      <t xml:space="preserve">原作は斜め・水平を含む三連の型。</t>
    </r>
  </si>
  <si>
    <t xml:space="preserve">素早い刺突クラッシュ攻撃(100+ATK250%)+ノックバック。</t>
  </si>
  <si>
    <r>
      <rPr>
        <sz val="10"/>
        <rFont val="Arial"/>
        <family val="0"/>
        <charset val="1"/>
      </rPr>
      <t xml:space="preserve">CT25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</si>
  <si>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字二連のクラッシュ攻撃</t>
    </r>
    <r>
      <rPr>
        <sz val="10"/>
        <rFont val="Arial"/>
        <family val="0"/>
        <charset val="1"/>
      </rPr>
      <t xml:space="preserve">(80+150%/100+200%)+</t>
    </r>
    <r>
      <rPr>
        <sz val="10"/>
        <rFont val="Noto Sans CJK SC"/>
        <family val="2"/>
      </rPr>
      <t xml:space="preserve">打ち上げ。</t>
    </r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</si>
  <si>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7</t>
    </r>
  </si>
  <si>
    <t xml:space="preserve">素早い突進からの中範囲切断攻撃(250+ATK270%)。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</si>
  <si>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8</t>
    </r>
  </si>
  <si>
    <t xml:space="preserve">水平二連の中範囲剣撃(100+150%/120+200%)+後方ステップ。</t>
  </si>
  <si>
    <r>
      <rPr>
        <sz val="10"/>
        <rFont val="Arial"/>
        <family val="0"/>
        <charset val="1"/>
      </rPr>
      <t xml:space="preserve">CT25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</t>
    </r>
  </si>
  <si>
    <t xml:space="preserve">水平四連の剣撃(100+150%x3/100+200%)。</t>
  </si>
  <si>
    <r>
      <rPr>
        <sz val="10"/>
        <rFont val="Arial"/>
        <family val="0"/>
        <charset val="1"/>
      </rPr>
      <t xml:space="preserve">CT60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10 / </t>
    </r>
    <r>
      <rPr>
        <sz val="10"/>
        <rFont val="Noto Sans CJK SC"/>
        <family val="2"/>
      </rPr>
      <t xml:space="preserve">原作は菱形軌道の四連撃。</t>
    </r>
  </si>
  <si>
    <t xml:space="preserve">ステップバックからの突進切断攻撃(160+ATK100%)。</t>
  </si>
  <si>
    <t xml:space="preserve">パラレルスティング</t>
  </si>
  <si>
    <t xml:space="preserve">5(+55)</t>
  </si>
  <si>
    <t xml:space="preserve">カウンターの構え。被弾時に弾いて切断攻撃(250+ATK100%)。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</si>
  <si>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2 / </t>
    </r>
    <r>
      <rPr>
        <sz val="10"/>
        <rFont val="Noto Sans CJK SC"/>
        <family val="2"/>
      </rPr>
      <t xml:space="preserve">原作は二連突き。</t>
    </r>
  </si>
  <si>
    <t xml:space="preserve">突進突きの切断攻撃(150+ATK100%)+後方ステップ。</t>
  </si>
  <si>
    <r>
      <rPr>
        <sz val="10"/>
        <rFont val="Arial"/>
        <family val="0"/>
        <charset val="1"/>
      </rPr>
      <t xml:space="preserve">CT20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3</t>
    </r>
  </si>
  <si>
    <t xml:space="preserve">跳躍から斜め下に突進し、着地時に中範囲の剣撃波(計340+ATK250%)。</t>
  </si>
  <si>
    <r>
      <rPr>
        <sz val="10"/>
        <rFont val="Arial"/>
        <family val="0"/>
        <charset val="1"/>
      </rPr>
      <t xml:space="preserve">CT20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 / </t>
    </r>
    <r>
      <rPr>
        <sz val="10"/>
        <rFont val="Noto Sans CJK SC"/>
        <family val="2"/>
      </rPr>
      <t xml:space="preserve">原作は低い一点突き。</t>
    </r>
  </si>
  <si>
    <t xml:space="preserve">素早い突進突きのクラッシュ攻撃(120+ATK200%)。</t>
  </si>
  <si>
    <r>
      <rPr>
        <sz val="10"/>
        <rFont val="Arial"/>
        <family val="0"/>
        <charset val="1"/>
      </rPr>
      <t xml:space="preserve">CT15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 / </t>
    </r>
    <r>
      <rPr>
        <sz val="10"/>
        <rFont val="Noto Sans CJK SC"/>
        <family val="2"/>
      </rPr>
      <t xml:space="preserve">原作は斜め斬り。</t>
    </r>
  </si>
  <si>
    <t xml:space="preserve">素早い三連の突き剣撃(70+ATK200%x3)。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</si>
  <si>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6</t>
    </r>
  </si>
  <si>
    <t xml:space="preserve">広範囲の四連突きクラッシュ攻撃(60+200%x3/130+130%)。</t>
  </si>
  <si>
    <r>
      <rPr>
        <sz val="10"/>
        <rFont val="Arial"/>
        <family val="0"/>
        <charset val="1"/>
      </rPr>
      <t xml:space="preserve">CT70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7</t>
    </r>
  </si>
  <si>
    <t xml:space="preserve">ダイアゴナルスティング</t>
  </si>
  <si>
    <t xml:space="preserve">カウンターの構え→跳躍突き+急降下の中範囲剣撃波(各95+ATK200%)。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</si>
  <si>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8 / </t>
    </r>
    <r>
      <rPr>
        <sz val="10"/>
        <rFont val="Noto Sans CJK SC"/>
        <family val="2"/>
      </rPr>
      <t xml:space="preserve">原作は高低二連突き。</t>
    </r>
  </si>
  <si>
    <t xml:space="preserve">シューティングスター</t>
  </si>
  <si>
    <t xml:space="preserve">突き上げのクラッシュ攻撃(100+ATK270%)。タイミング押しでカウンター4連撃に派生。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</si>
  <si>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 / </t>
    </r>
    <r>
      <rPr>
        <sz val="10"/>
        <rFont val="Noto Sans CJK SC"/>
        <family val="2"/>
      </rPr>
      <t xml:space="preserve">原作は突進技。</t>
    </r>
  </si>
  <si>
    <t xml:space="preserve">正面広範囲を高速で切り抜け、範囲内全員に4連続の切断攻撃(60+ATK150%)。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</si>
  <si>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10</t>
    </r>
  </si>
  <si>
    <t xml:space="preserve">後退しながらの切断攻撃(170+ATK100%)。</t>
  </si>
  <si>
    <t xml:space="preserve">シングルシュート</t>
  </si>
  <si>
    <t xml:space="preserve">剣撃ナイフを投げる(130+ATK100%)。</t>
  </si>
  <si>
    <r>
      <rPr>
        <sz val="10"/>
        <rFont val="Arial"/>
        <family val="0"/>
        <charset val="1"/>
      </rPr>
      <t xml:space="preserve">CT15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2 / </t>
    </r>
    <r>
      <rPr>
        <sz val="10"/>
        <rFont val="Noto Sans CJK SC"/>
        <family val="2"/>
      </rPr>
      <t xml:space="preserve">原作では投剣カテゴリの初歩技。</t>
    </r>
  </si>
  <si>
    <t xml:space="preserve">ラピッドバイト</t>
  </si>
  <si>
    <t xml:space="preserve">素早く背後へ回り込み切断攻撃(200+ATK100%)。</t>
  </si>
  <si>
    <r>
      <rPr>
        <sz val="10"/>
        <rFont val="Arial"/>
        <family val="0"/>
        <charset val="1"/>
      </rPr>
      <t xml:space="preserve">CT25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3 / </t>
    </r>
    <r>
      <rPr>
        <sz val="10"/>
        <rFont val="Noto Sans CJK SC"/>
        <family val="2"/>
      </rPr>
      <t xml:space="preserve">原作は突進技。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</si>
  <si>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本の剣撃ナイフを投げる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130+ATK200%)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</si>
  <si>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CT30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</t>
    </r>
  </si>
  <si>
    <t xml:space="preserve">素早い突進からのクラッシュ攻撃(260+ATK250%)。</t>
  </si>
  <si>
    <r>
      <rPr>
        <sz val="10"/>
        <rFont val="Arial"/>
        <family val="0"/>
        <charset val="1"/>
      </rPr>
      <t xml:space="preserve">CT30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</t>
    </r>
  </si>
  <si>
    <t xml:space="preserve">跳び上がりながらの剣撃(170+ATK250%)+打ち上げ。</t>
  </si>
  <si>
    <r>
      <rPr>
        <sz val="10"/>
        <rFont val="Arial"/>
        <family val="0"/>
        <charset val="1"/>
      </rPr>
      <t xml:space="preserve">CT30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6 / </t>
    </r>
    <r>
      <rPr>
        <sz val="10"/>
        <rFont val="Noto Sans CJK SC"/>
        <family val="2"/>
      </rPr>
      <t xml:space="preserve">原作</t>
    </r>
    <r>
      <rPr>
        <sz val="10"/>
        <rFont val="Arial"/>
        <family val="0"/>
        <charset val="1"/>
      </rPr>
      <t xml:space="preserve">(UW)</t>
    </r>
    <r>
      <rPr>
        <sz val="10"/>
        <rFont val="Noto Sans CJK SC"/>
        <family val="2"/>
      </rPr>
      <t xml:space="preserve">は上方向への突き。</t>
    </r>
  </si>
  <si>
    <t xml:space="preserve">最大3か所をロックしホーミングナイフを投擲(各200+ATK200%)。</t>
  </si>
  <si>
    <t xml:space="preserve">移動可能な回転切断攻撃(回転70+ATK20%/フィニッシュ70+ATK250%)。長押しで持続延長。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</si>
  <si>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8</t>
    </r>
  </si>
  <si>
    <t xml:space="preserve">跳び上がっての連続回転切断攻撃(110+ATK200%)。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</si>
  <si>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</t>
    </r>
  </si>
  <si>
    <t xml:space="preserve">ファッドエッジ</t>
  </si>
  <si>
    <t xml:space="preserve">素早い四連の剣撃(60+200%/60+200%/50+50%x3/110+200%)。</t>
  </si>
  <si>
    <r>
      <rPr>
        <sz val="10"/>
        <rFont val="Arial"/>
        <family val="0"/>
        <charset val="1"/>
      </rPr>
      <t xml:space="preserve">CT60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10 / </t>
    </r>
    <r>
      <rPr>
        <sz val="10"/>
        <rFont val="Noto Sans CJK SC"/>
        <family val="2"/>
      </rPr>
      <t xml:space="preserve">原作では詳細不明の短剣技。</t>
    </r>
  </si>
  <si>
    <t xml:space="preserve">素早い踏み込みからの突きクラッシュ攻撃(150+ATK100%)。</t>
  </si>
  <si>
    <t xml:space="preserve">前方へ飛び込みつつ振り下ろす剣撃(100+ATK130%)。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</si>
  <si>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2</t>
    </r>
  </si>
  <si>
    <t xml:space="preserve">突進体当たり(15+ATK80%)→停止後に二連切断攻撃(70+100%/200+100%)。</t>
  </si>
  <si>
    <r>
      <rPr>
        <sz val="10"/>
        <rFont val="Arial"/>
        <family val="0"/>
        <charset val="1"/>
      </rPr>
      <t xml:space="preserve">CT45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3</t>
    </r>
  </si>
  <si>
    <t xml:space="preserve">水平二連の全周囲剣撃(60+200%/160+200%)。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</si>
  <si>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 / </t>
    </r>
    <r>
      <rPr>
        <sz val="10"/>
        <rFont val="Noto Sans CJK SC"/>
        <family val="2"/>
      </rPr>
      <t xml:space="preserve">原作では片手斧カテゴリの二連撃。</t>
    </r>
  </si>
  <si>
    <t xml:space="preserve">フルスイングのクラッシュ攻撃(110+ATK200%)+大きく吹き飛ばす。</t>
  </si>
  <si>
    <r>
      <rPr>
        <sz val="10"/>
        <rFont val="Arial"/>
        <family val="0"/>
        <charset val="1"/>
      </rPr>
      <t xml:space="preserve">CT20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</t>
    </r>
  </si>
  <si>
    <t xml:space="preserve">片手棍を投げつけるクラッシュ攻撃(280+ATK250%)。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</si>
  <si>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6</t>
    </r>
  </si>
  <si>
    <t xml:space="preserve">打ち上げ剣撃(60+150%)→打ち下ろし剣撃(110+200%)。</t>
  </si>
  <si>
    <r>
      <rPr>
        <sz val="10"/>
        <rFont val="Arial"/>
        <family val="0"/>
        <charset val="1"/>
      </rPr>
      <t xml:space="preserve">CT25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7</t>
    </r>
  </si>
  <si>
    <t xml:space="preserve">長押しで振り回し(40+ATK20%)→解放でクラッシュ攻撃(90+ATK250%)+打ち上げ。</t>
  </si>
  <si>
    <t xml:space="preserve">長押しで最大三連のクラッシュ攻撃(60+200%/120+200%/180+250%)。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</si>
  <si>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</t>
    </r>
  </si>
  <si>
    <t xml:space="preserve">武器を回して前方14m内の敵を引き寄せ、連続剣撃(30+ATK120%)。</t>
  </si>
  <si>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字の二連切断攻撃</t>
    </r>
    <r>
      <rPr>
        <sz val="10"/>
        <rFont val="Arial"/>
        <family val="0"/>
        <charset val="1"/>
      </rPr>
      <t xml:space="preserve">(100+100%/120+100%)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</si>
  <si>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CT30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</t>
    </r>
  </si>
  <si>
    <t xml:space="preserve">跳躍→突き降ろし→衝撃波の三連剣撃(100/120/中範囲140+各100%)。</t>
  </si>
  <si>
    <t xml:space="preserve">垂直振り下ろしの中距離切断攻撃(350+ATK100%)。チャージで射程・威力上昇(800+100%)。</t>
  </si>
  <si>
    <r>
      <rPr>
        <sz val="10"/>
        <rFont val="Arial"/>
        <family val="0"/>
        <charset val="1"/>
      </rPr>
      <t xml:space="preserve">CT60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3</t>
    </r>
  </si>
  <si>
    <t xml:space="preserve">突進からの柄突きクラッシュ攻撃(160+ATK200%)。長押しで切り上げ追撃(440+250%)。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</si>
  <si>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</t>
    </r>
  </si>
  <si>
    <t xml:space="preserve">回転斬りの剣撃(170+ATK150%)。長押しで最大三撃追加(最終340+240%)。</t>
  </si>
  <si>
    <r>
      <rPr>
        <sz val="10"/>
        <rFont val="Arial"/>
        <family val="0"/>
        <charset val="1"/>
      </rPr>
      <t xml:space="preserve">CT70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 / </t>
    </r>
    <r>
      <rPr>
        <sz val="10"/>
        <rFont val="Noto Sans CJK SC"/>
        <family val="2"/>
      </rPr>
      <t xml:space="preserve">原作は背後へのカウンター一閃。</t>
    </r>
  </si>
  <si>
    <t xml:space="preserve">広範囲の四連剣撃(130+150%x3/200+200%)。</t>
  </si>
  <si>
    <r>
      <rPr>
        <sz val="10"/>
        <rFont val="Arial"/>
        <family val="0"/>
        <charset val="1"/>
      </rPr>
      <t xml:space="preserve">CT65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6</t>
    </r>
  </si>
  <si>
    <t xml:space="preserve">突進突きでホールド(40+250%)→蹴り飛ばし(40+250%)。長押しで切り上げに変化(340+250%)。</t>
  </si>
  <si>
    <r>
      <rPr>
        <sz val="10"/>
        <rFont val="Arial"/>
        <family val="0"/>
        <charset val="1"/>
      </rPr>
      <t xml:space="preserve">CT45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7</t>
    </r>
  </si>
  <si>
    <t xml:space="preserve">突進からの地面叩きつけで中範囲剣撃波(290+ATK250%)。</t>
  </si>
  <si>
    <r>
      <rPr>
        <sz val="10"/>
        <rFont val="Arial"/>
        <family val="0"/>
        <charset val="1"/>
      </rPr>
      <t xml:space="preserve">CT40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8 / </t>
    </r>
    <r>
      <rPr>
        <sz val="10"/>
        <rFont val="Noto Sans CJK SC"/>
        <family val="2"/>
      </rPr>
      <t xml:space="preserve">原作は上段からの強斬撃。</t>
    </r>
  </si>
  <si>
    <t xml:space="preserve">限界まで溜めた垂直斬りの切断攻撃(1000+ATK300%)。</t>
  </si>
  <si>
    <r>
      <rPr>
        <sz val="10"/>
        <rFont val="Arial"/>
        <family val="0"/>
        <charset val="1"/>
      </rPr>
      <t xml:space="preserve">CT80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</t>
    </r>
  </si>
  <si>
    <t xml:space="preserve">水平斬りの全周囲切断攻撃(280+ATK250%)。</t>
  </si>
  <si>
    <r>
      <rPr>
        <sz val="10"/>
        <rFont val="Arial"/>
        <family val="0"/>
        <charset val="1"/>
      </rPr>
      <t xml:space="preserve">CT35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10</t>
    </r>
  </si>
  <si>
    <t xml:space="preserve">地面を叩く中範囲の剣撃波(600+ATK100%)。</t>
  </si>
  <si>
    <r>
      <rPr>
        <sz val="10"/>
        <rFont val="Arial"/>
        <family val="0"/>
        <charset val="1"/>
      </rPr>
      <t xml:space="preserve">CT60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1</t>
    </r>
  </si>
  <si>
    <t xml:space="preserve">刃先を正面に飛ばす貫通クラッシュ攻撃(180+ATK100%)。</t>
  </si>
  <si>
    <t xml:space="preserve">振り上げの中範囲剣撃波(400+ATK100%)+打ち上げ。</t>
  </si>
  <si>
    <t xml:space="preserve">ワールウィンド</t>
  </si>
  <si>
    <t xml:space="preserve">刃先を伸ばして振り回す全周囲の広範囲連続剣撃(360+ATK200%)。</t>
  </si>
  <si>
    <r>
      <rPr>
        <sz val="10"/>
        <rFont val="Arial"/>
        <family val="0"/>
        <charset val="1"/>
      </rPr>
      <t xml:space="preserve">CT65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4</t>
    </r>
  </si>
  <si>
    <t xml:space="preserve">突進からの二連クラッシュ攻撃(各200+ATK200%)。二撃目で打ち上げ。</t>
  </si>
  <si>
    <r>
      <rPr>
        <sz val="10"/>
        <rFont val="Arial"/>
        <family val="0"/>
        <charset val="1"/>
      </rPr>
      <t xml:space="preserve">CT45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5</t>
    </r>
  </si>
  <si>
    <t xml:space="preserve">刃先を飛ばす剣撃(270+ATK250%)+引き寄せ。</t>
  </si>
  <si>
    <t xml:space="preserve">溜め解放で全周囲の中範囲剣撃(210+ATK200%)+打ち上げ。溜めで範囲・威力上昇、DEF+20。</t>
  </si>
  <si>
    <r>
      <rPr>
        <sz val="10"/>
        <rFont val="Arial"/>
        <family val="0"/>
        <charset val="1"/>
      </rPr>
      <t xml:space="preserve">CT50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7</t>
    </r>
  </si>
  <si>
    <t xml:space="preserve">効果未判明(攻略情報未更新)。</t>
  </si>
  <si>
    <r>
      <rPr>
        <sz val="10"/>
        <rFont val="Arial"/>
        <family val="0"/>
        <charset val="1"/>
      </rPr>
      <t xml:space="preserve">CT-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</si>
  <si>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"/>
        <family val="0"/>
        <charset val="1"/>
      </rPr>
      <t xml:space="preserve">CT-</t>
    </r>
    <r>
      <rPr>
        <sz val="10"/>
        <rFont val="Noto Sans CJK SC"/>
        <family val="2"/>
      </rPr>
      <t xml:space="preserve">秒・習得熟練度</t>
    </r>
    <r>
      <rPr>
        <sz val="10"/>
        <rFont val="Arial"/>
        <family val="0"/>
        <charset val="1"/>
      </rPr>
      <t xml:space="preserve">9</t>
    </r>
  </si>
  <si>
    <t xml:space="preserve">出典別集計</t>
  </si>
  <si>
    <t xml:space="preserve">ホロウ・フラグメント</t>
  </si>
  <si>
    <t xml:space="preserve">エコーズ オブ アインクラッド</t>
  </si>
  <si>
    <t xml:space="preserve">原作にも登場/アレンジの技数</t>
  </si>
  <si>
    <r>
      <rPr>
        <i val="true"/>
        <sz val="10"/>
        <color rgb="FF595959"/>
        <rFont val="Arial"/>
        <family val="0"/>
        <charset val="1"/>
      </rPr>
      <t xml:space="preserve">※HF</t>
    </r>
    <r>
      <rPr>
        <i val="true"/>
        <sz val="10"/>
        <color rgb="FF595959"/>
        <rFont val="Noto Sans CJK SC"/>
        <family val="2"/>
      </rPr>
      <t xml:space="preserve">のデータは前作インフィニティ・モーメント</t>
    </r>
    <r>
      <rPr>
        <i val="true"/>
        <sz val="10"/>
        <color rgb="FF595959"/>
        <rFont val="Arial"/>
        <family val="0"/>
        <charset val="1"/>
      </rPr>
      <t xml:space="preserve">(PSP/2013)</t>
    </r>
    <r>
      <rPr>
        <i val="true"/>
        <sz val="10"/>
        <color rgb="FF595959"/>
        <rFont val="Noto Sans CJK SC"/>
        <family val="2"/>
      </rPr>
      <t xml:space="preserve">のスキルを引き継いだもの。数値・効果はゲーム内仕様であり原作設定とは別枠。</t>
    </r>
    <r>
      <rPr>
        <i val="true"/>
        <sz val="10"/>
        <color rgb="FF595959"/>
        <rFont val="Arial"/>
        <family val="0"/>
        <charset val="1"/>
      </rPr>
      <t xml:space="preserve">DW=</t>
    </r>
    <r>
      <rPr>
        <i val="true"/>
        <sz val="10"/>
        <color rgb="FF595959"/>
        <rFont val="Noto Sans CJK SC"/>
        <family val="2"/>
      </rPr>
      <t xml:space="preserve">ダウン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能力低下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、</t>
    </r>
    <r>
      <rPr>
        <i val="true"/>
        <sz val="10"/>
        <color rgb="FF595959"/>
        <rFont val="Arial"/>
        <family val="0"/>
        <charset val="1"/>
      </rPr>
      <t xml:space="preserve">BST=</t>
    </r>
    <r>
      <rPr>
        <i val="true"/>
        <sz val="10"/>
        <color rgb="FF595959"/>
        <rFont val="Noto Sans CJK SC"/>
        <family val="2"/>
      </rPr>
      <t xml:space="preserve">バースト、</t>
    </r>
    <r>
      <rPr>
        <i val="true"/>
        <sz val="10"/>
        <color rgb="FF595959"/>
        <rFont val="Arial"/>
        <family val="0"/>
        <charset val="1"/>
      </rPr>
      <t xml:space="preserve">EL=</t>
    </r>
    <r>
      <rPr>
        <i val="true"/>
        <sz val="10"/>
        <color rgb="FF595959"/>
        <rFont val="Noto Sans CJK SC"/>
        <family val="2"/>
      </rPr>
      <t xml:space="preserve">実装エレメント調査。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</si>
</sst>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Noto Sans CJK SC"/>
      <family val="2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5B2D8E"/>
      <name val="Noto Sans CJK SC"/>
      <family val="2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2E5E4E"/>
      </patternFill>
    </fill>
    <fill>
      <patternFill patternType="solid">
        <fgColor rgb="FFE2EFDA"/>
        <bgColor rgb="FFEDEDED"/>
      </patternFill>
    </fill>
    <fill>
      <patternFill patternType="solid">
        <fgColor rgb="FFE4D7F5"/>
        <bgColor rgb="FFD9D9D9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EDEDED"/>
        <bgColor rgb="FFE2EFDA"/>
      </patternFill>
    </fill>
    <fill>
      <patternFill patternType="solid">
        <fgColor rgb="FF2E5E4E"/>
        <bgColor rgb="FF1F4E79"/>
      </patternFill>
    </fill>
    <fill>
      <patternFill patternType="solid">
        <fgColor rgb="FFD9D9D9"/>
        <bgColor rgb="FFE4D7F5"/>
      </patternFill>
    </fill>
    <fill>
      <patternFill patternType="solid">
        <fgColor rgb="FF7B3F00"/>
        <bgColor rgb="FF993366"/>
      </patternFill>
    </fill>
    <fill>
      <patternFill patternType="solid">
        <fgColor rgb="FFFBE5D6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2D8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7F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5E4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BE5D6"/>
      <rgbColor rgb="FFD9D9D9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7B3F00"/>
      <rgbColor rgb="FF993366"/>
      <rgbColor rgb="FF5B2D8E"/>
      <rgbColor rgb="FF2E5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110"/>
  </cols>
  <sheetData>
    <row r="2" customFormat="false" ht="21" hidden="false" customHeight="true" outlineLevel="0" collapsed="false">
      <c r="B2" s="2" t="s">
        <v>0</v>
      </c>
    </row>
    <row r="4" customFormat="false" ht="30" hidden="false" customHeight="true" outlineLevel="0" collapsed="false">
      <c r="B4" s="3" t="s">
        <v>1</v>
      </c>
      <c r="C4" s="4" t="s">
        <v>2</v>
      </c>
    </row>
    <row r="5" customFormat="false" ht="30" hidden="false" customHeight="true" outlineLevel="0" collapsed="false">
      <c r="B5" s="3" t="s">
        <v>3</v>
      </c>
      <c r="C5" s="5" t="s">
        <v>4</v>
      </c>
    </row>
    <row r="6" customFormat="false" ht="30" hidden="false" customHeight="true" outlineLevel="0" collapsed="false">
      <c r="B6" s="3" t="s">
        <v>5</v>
      </c>
      <c r="C6" s="5" t="s">
        <v>6</v>
      </c>
    </row>
    <row r="7" customFormat="false" ht="30" hidden="false" customHeight="true" outlineLevel="0" collapsed="false">
      <c r="B7" s="3" t="s">
        <v>7</v>
      </c>
      <c r="C7" s="5" t="s">
        <v>8</v>
      </c>
    </row>
    <row r="8" customFormat="false" ht="30" hidden="false" customHeight="true" outlineLevel="0" collapsed="false">
      <c r="B8" s="3" t="s">
        <v>9</v>
      </c>
      <c r="C8" s="5" t="s">
        <v>10</v>
      </c>
    </row>
    <row r="9" customFormat="false" ht="30" hidden="false" customHeight="true" outlineLevel="0" collapsed="false">
      <c r="B9" s="3" t="s">
        <v>11</v>
      </c>
      <c r="C9" s="5" t="s">
        <v>12</v>
      </c>
    </row>
    <row r="11" customFormat="false" ht="30" hidden="false" customHeight="true" outlineLevel="0" collapsed="false">
      <c r="B11" s="3" t="s">
        <v>13</v>
      </c>
      <c r="C11" s="5" t="s">
        <v>14</v>
      </c>
    </row>
    <row r="12" customFormat="false" ht="30" hidden="false" customHeight="true" outlineLevel="0" collapsed="false">
      <c r="B12" s="3" t="s">
        <v>15</v>
      </c>
      <c r="C12" s="5" t="s">
        <v>16</v>
      </c>
    </row>
    <row r="13" customFormat="false" ht="30" hidden="false" customHeight="true" outlineLevel="0" collapsed="false">
      <c r="B13" s="3" t="s">
        <v>17</v>
      </c>
      <c r="C13" s="5" t="s">
        <v>18</v>
      </c>
    </row>
    <row r="15" customFormat="false" ht="43.5" hidden="false" customHeight="true" outlineLevel="0" collapsed="false">
      <c r="B15" s="3" t="s">
        <v>19</v>
      </c>
      <c r="C15" s="5" t="s">
        <v>20</v>
      </c>
    </row>
    <row r="16" customFormat="false" ht="43.5" hidden="false" customHeight="true" outlineLevel="0" collapsed="false">
      <c r="B16" s="3" t="s">
        <v>21</v>
      </c>
      <c r="C16" s="5" t="s">
        <v>22</v>
      </c>
    </row>
    <row r="17" customFormat="false" ht="43.5" hidden="false" customHeight="true" outlineLevel="0" collapsed="false">
      <c r="B17" s="3" t="s">
        <v>23</v>
      </c>
      <c r="C17" s="4" t="s">
        <v>24</v>
      </c>
    </row>
    <row r="18" customFormat="false" ht="43.5" hidden="false" customHeight="true" outlineLevel="0" collapsed="false">
      <c r="B18" s="6" t="s">
        <v>25</v>
      </c>
      <c r="C18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50"/>
    <col collapsed="false" customWidth="true" hidden="false" outlineLevel="0" max="8" min="8" style="1" width="24"/>
    <col collapsed="false" customWidth="true" hidden="false" outlineLevel="0" max="9" min="9" style="1" width="18"/>
    <col collapsed="false" customWidth="true" hidden="false" outlineLevel="0" max="10" min="10" style="1" width="34"/>
  </cols>
  <sheetData>
    <row r="1" customFormat="false" ht="43.5" hidden="false" customHeight="tru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</row>
    <row r="2" customFormat="false" ht="15" hidden="false" customHeight="true" outlineLevel="0" collapsed="false">
      <c r="A2" s="9" t="s">
        <v>37</v>
      </c>
      <c r="B2" s="10" t="n">
        <v>1</v>
      </c>
      <c r="C2" s="9" t="s">
        <v>38</v>
      </c>
      <c r="D2" s="11" t="s">
        <v>39</v>
      </c>
      <c r="E2" s="10" t="s">
        <v>40</v>
      </c>
      <c r="F2" s="12" t="s">
        <v>41</v>
      </c>
      <c r="G2" s="9" t="s">
        <v>42</v>
      </c>
      <c r="H2" s="11" t="s">
        <v>43</v>
      </c>
      <c r="I2" s="13" t="s">
        <v>44</v>
      </c>
      <c r="J2" s="11"/>
    </row>
    <row r="3" customFormat="false" ht="15" hidden="false" customHeight="true" outlineLevel="0" collapsed="false">
      <c r="A3" s="9" t="s">
        <v>37</v>
      </c>
      <c r="B3" s="10" t="n">
        <v>5</v>
      </c>
      <c r="C3" s="9" t="s">
        <v>45</v>
      </c>
      <c r="D3" s="11" t="s">
        <v>46</v>
      </c>
      <c r="E3" s="10" t="s">
        <v>40</v>
      </c>
      <c r="F3" s="12" t="s">
        <v>47</v>
      </c>
      <c r="G3" s="9" t="s">
        <v>48</v>
      </c>
      <c r="H3" s="11" t="s">
        <v>43</v>
      </c>
      <c r="I3" s="13" t="s">
        <v>44</v>
      </c>
      <c r="J3" s="11"/>
    </row>
    <row r="4" customFormat="false" ht="15" hidden="false" customHeight="true" outlineLevel="0" collapsed="false">
      <c r="A4" s="9" t="s">
        <v>37</v>
      </c>
      <c r="B4" s="10" t="n">
        <v>10</v>
      </c>
      <c r="C4" s="9" t="s">
        <v>49</v>
      </c>
      <c r="D4" s="11" t="s">
        <v>50</v>
      </c>
      <c r="E4" s="10" t="s">
        <v>40</v>
      </c>
      <c r="F4" s="12" t="s">
        <v>51</v>
      </c>
      <c r="G4" s="9" t="s">
        <v>52</v>
      </c>
      <c r="H4" s="11" t="s">
        <v>43</v>
      </c>
      <c r="I4" s="13" t="s">
        <v>44</v>
      </c>
      <c r="J4" s="11"/>
    </row>
    <row r="5" customFormat="false" ht="15" hidden="false" customHeight="true" outlineLevel="0" collapsed="false">
      <c r="A5" s="9" t="s">
        <v>37</v>
      </c>
      <c r="B5" s="10" t="n">
        <v>20</v>
      </c>
      <c r="C5" s="9" t="s">
        <v>53</v>
      </c>
      <c r="D5" s="11" t="s">
        <v>54</v>
      </c>
      <c r="E5" s="10" t="s">
        <v>40</v>
      </c>
      <c r="F5" s="12" t="s">
        <v>55</v>
      </c>
      <c r="G5" s="9" t="s">
        <v>56</v>
      </c>
      <c r="H5" s="11" t="s">
        <v>57</v>
      </c>
      <c r="I5" s="13" t="s">
        <v>58</v>
      </c>
      <c r="J5" s="11"/>
    </row>
    <row r="6" customFormat="false" ht="15" hidden="false" customHeight="true" outlineLevel="0" collapsed="false">
      <c r="A6" s="9" t="s">
        <v>37</v>
      </c>
      <c r="B6" s="10" t="n">
        <v>30</v>
      </c>
      <c r="C6" s="9" t="s">
        <v>59</v>
      </c>
      <c r="D6" s="11" t="s">
        <v>60</v>
      </c>
      <c r="E6" s="10" t="s">
        <v>40</v>
      </c>
      <c r="F6" s="12" t="s">
        <v>61</v>
      </c>
      <c r="G6" s="9" t="s">
        <v>62</v>
      </c>
      <c r="H6" s="11" t="s">
        <v>63</v>
      </c>
      <c r="I6" s="13" t="s">
        <v>44</v>
      </c>
      <c r="J6" s="9" t="s">
        <v>64</v>
      </c>
    </row>
    <row r="7" customFormat="false" ht="15" hidden="false" customHeight="true" outlineLevel="0" collapsed="false">
      <c r="A7" s="9" t="s">
        <v>37</v>
      </c>
      <c r="B7" s="10" t="n">
        <v>50</v>
      </c>
      <c r="C7" s="9" t="s">
        <v>65</v>
      </c>
      <c r="D7" s="11" t="s">
        <v>66</v>
      </c>
      <c r="E7" s="10" t="s">
        <v>40</v>
      </c>
      <c r="F7" s="12" t="s">
        <v>61</v>
      </c>
      <c r="G7" s="9" t="s">
        <v>67</v>
      </c>
      <c r="H7" s="9" t="s">
        <v>68</v>
      </c>
      <c r="I7" s="13" t="s">
        <v>44</v>
      </c>
      <c r="J7" s="11"/>
    </row>
    <row r="8" customFormat="false" ht="15" hidden="false" customHeight="true" outlineLevel="0" collapsed="false">
      <c r="A8" s="9" t="s">
        <v>37</v>
      </c>
      <c r="B8" s="10" t="n">
        <v>60</v>
      </c>
      <c r="C8" s="14" t="s">
        <v>69</v>
      </c>
      <c r="D8" s="11" t="s">
        <v>70</v>
      </c>
      <c r="E8" s="10" t="s">
        <v>40</v>
      </c>
      <c r="F8" s="12" t="s">
        <v>71</v>
      </c>
      <c r="G8" s="9" t="s">
        <v>72</v>
      </c>
      <c r="H8" s="9" t="s">
        <v>73</v>
      </c>
      <c r="I8" s="15" t="s">
        <v>74</v>
      </c>
      <c r="J8" s="11"/>
    </row>
    <row r="9" customFormat="false" ht="15" hidden="false" customHeight="true" outlineLevel="0" collapsed="false">
      <c r="A9" s="9" t="s">
        <v>37</v>
      </c>
      <c r="B9" s="10" t="n">
        <v>80</v>
      </c>
      <c r="C9" s="9" t="s">
        <v>75</v>
      </c>
      <c r="D9" s="11" t="s">
        <v>76</v>
      </c>
      <c r="E9" s="10" t="s">
        <v>77</v>
      </c>
      <c r="F9" s="12" t="s">
        <v>78</v>
      </c>
      <c r="G9" s="11" t="s">
        <v>79</v>
      </c>
      <c r="H9" s="9" t="s">
        <v>80</v>
      </c>
      <c r="I9" s="13" t="s">
        <v>44</v>
      </c>
      <c r="J9" s="11"/>
    </row>
    <row r="10" customFormat="false" ht="15" hidden="false" customHeight="true" outlineLevel="0" collapsed="false">
      <c r="A10" s="9" t="s">
        <v>37</v>
      </c>
      <c r="B10" s="10" t="n">
        <v>100</v>
      </c>
      <c r="C10" s="9" t="s">
        <v>81</v>
      </c>
      <c r="D10" s="11" t="s">
        <v>82</v>
      </c>
      <c r="E10" s="10" t="s">
        <v>77</v>
      </c>
      <c r="F10" s="12" t="s">
        <v>78</v>
      </c>
      <c r="G10" s="9" t="s">
        <v>83</v>
      </c>
      <c r="H10" s="9" t="s">
        <v>84</v>
      </c>
      <c r="I10" s="16" t="s">
        <v>85</v>
      </c>
      <c r="J10" s="11"/>
    </row>
    <row r="11" customFormat="false" ht="15" hidden="false" customHeight="true" outlineLevel="0" collapsed="false">
      <c r="A11" s="9" t="s">
        <v>37</v>
      </c>
      <c r="B11" s="10" t="n">
        <v>120</v>
      </c>
      <c r="C11" s="9" t="s">
        <v>86</v>
      </c>
      <c r="D11" s="11" t="s">
        <v>87</v>
      </c>
      <c r="E11" s="10" t="s">
        <v>40</v>
      </c>
      <c r="F11" s="12" t="s">
        <v>88</v>
      </c>
      <c r="G11" s="9" t="s">
        <v>89</v>
      </c>
      <c r="H11" s="11" t="s">
        <v>90</v>
      </c>
      <c r="I11" s="13" t="s">
        <v>58</v>
      </c>
      <c r="J11" s="11"/>
    </row>
    <row r="12" customFormat="false" ht="15" hidden="false" customHeight="true" outlineLevel="0" collapsed="false">
      <c r="A12" s="9" t="s">
        <v>37</v>
      </c>
      <c r="B12" s="10" t="n">
        <v>180</v>
      </c>
      <c r="C12" s="9" t="s">
        <v>91</v>
      </c>
      <c r="D12" s="11" t="s">
        <v>92</v>
      </c>
      <c r="E12" s="10" t="s">
        <v>77</v>
      </c>
      <c r="F12" s="12" t="s">
        <v>78</v>
      </c>
      <c r="G12" s="9" t="s">
        <v>93</v>
      </c>
      <c r="H12" s="11" t="s">
        <v>94</v>
      </c>
      <c r="I12" s="17" t="s">
        <v>95</v>
      </c>
      <c r="J12" s="11"/>
    </row>
    <row r="13" customFormat="false" ht="15" hidden="false" customHeight="true" outlineLevel="0" collapsed="false">
      <c r="A13" s="9" t="s">
        <v>37</v>
      </c>
      <c r="B13" s="10" t="n">
        <v>200</v>
      </c>
      <c r="C13" s="14" t="s">
        <v>96</v>
      </c>
      <c r="D13" s="11" t="s">
        <v>70</v>
      </c>
      <c r="E13" s="10" t="s">
        <v>40</v>
      </c>
      <c r="F13" s="12" t="s">
        <v>78</v>
      </c>
      <c r="G13" s="9" t="s">
        <v>97</v>
      </c>
      <c r="H13" s="9" t="s">
        <v>73</v>
      </c>
      <c r="I13" s="15" t="s">
        <v>74</v>
      </c>
      <c r="J13" s="11"/>
    </row>
    <row r="14" customFormat="false" ht="15" hidden="false" customHeight="true" outlineLevel="0" collapsed="false">
      <c r="A14" s="9" t="s">
        <v>37</v>
      </c>
      <c r="B14" s="10" t="n">
        <v>250</v>
      </c>
      <c r="C14" s="9" t="s">
        <v>98</v>
      </c>
      <c r="D14" s="11" t="s">
        <v>99</v>
      </c>
      <c r="E14" s="10" t="s">
        <v>100</v>
      </c>
      <c r="F14" s="12" t="s">
        <v>78</v>
      </c>
      <c r="G14" s="9" t="s">
        <v>101</v>
      </c>
      <c r="H14" s="9" t="s">
        <v>102</v>
      </c>
      <c r="I14" s="16" t="s">
        <v>85</v>
      </c>
      <c r="J14" s="11"/>
    </row>
    <row r="15" customFormat="false" ht="15" hidden="false" customHeight="true" outlineLevel="0" collapsed="false">
      <c r="A15" s="9" t="s">
        <v>37</v>
      </c>
      <c r="B15" s="10" t="n">
        <v>300</v>
      </c>
      <c r="C15" s="9" t="s">
        <v>103</v>
      </c>
      <c r="D15" s="11" t="s">
        <v>104</v>
      </c>
      <c r="E15" s="10" t="s">
        <v>100</v>
      </c>
      <c r="F15" s="12" t="s">
        <v>78</v>
      </c>
      <c r="G15" s="9" t="s">
        <v>105</v>
      </c>
      <c r="H15" s="11" t="s">
        <v>106</v>
      </c>
      <c r="I15" s="17" t="s">
        <v>95</v>
      </c>
      <c r="J15" s="11"/>
    </row>
    <row r="16" customFormat="false" ht="15" hidden="false" customHeight="true" outlineLevel="0" collapsed="false">
      <c r="A16" s="9" t="s">
        <v>37</v>
      </c>
      <c r="B16" s="10" t="n">
        <v>400</v>
      </c>
      <c r="C16" s="9" t="s">
        <v>107</v>
      </c>
      <c r="D16" s="11" t="s">
        <v>108</v>
      </c>
      <c r="E16" s="10" t="s">
        <v>109</v>
      </c>
      <c r="F16" s="12" t="s">
        <v>78</v>
      </c>
      <c r="G16" s="9" t="s">
        <v>110</v>
      </c>
      <c r="H16" s="11" t="s">
        <v>111</v>
      </c>
      <c r="I16" s="13" t="s">
        <v>58</v>
      </c>
      <c r="J16" s="11"/>
    </row>
    <row r="17" customFormat="false" ht="15" hidden="false" customHeight="true" outlineLevel="0" collapsed="false">
      <c r="A17" s="9" t="s">
        <v>37</v>
      </c>
      <c r="B17" s="10" t="n">
        <v>420</v>
      </c>
      <c r="C17" s="9" t="s">
        <v>112</v>
      </c>
      <c r="D17" s="11" t="s">
        <v>113</v>
      </c>
      <c r="E17" s="10" t="s">
        <v>109</v>
      </c>
      <c r="F17" s="12" t="s">
        <v>78</v>
      </c>
      <c r="G17" s="9" t="s">
        <v>114</v>
      </c>
      <c r="H17" s="9" t="s">
        <v>68</v>
      </c>
      <c r="I17" s="13" t="s">
        <v>44</v>
      </c>
      <c r="J17" s="11"/>
    </row>
    <row r="18" customFormat="false" ht="15" hidden="false" customHeight="true" outlineLevel="0" collapsed="false">
      <c r="A18" s="9" t="s">
        <v>37</v>
      </c>
      <c r="B18" s="10" t="n">
        <v>550</v>
      </c>
      <c r="C18" s="9" t="s">
        <v>115</v>
      </c>
      <c r="D18" s="11" t="s">
        <v>116</v>
      </c>
      <c r="E18" s="10" t="s">
        <v>40</v>
      </c>
      <c r="F18" s="12" t="s">
        <v>71</v>
      </c>
      <c r="G18" s="9" t="s">
        <v>117</v>
      </c>
      <c r="H18" s="11" t="s">
        <v>118</v>
      </c>
      <c r="I18" s="13" t="s">
        <v>58</v>
      </c>
      <c r="J18" s="11"/>
    </row>
    <row r="19" customFormat="false" ht="15" hidden="false" customHeight="true" outlineLevel="0" collapsed="false">
      <c r="A19" s="9" t="s">
        <v>37</v>
      </c>
      <c r="B19" s="10" t="n">
        <v>650</v>
      </c>
      <c r="C19" s="14" t="s">
        <v>119</v>
      </c>
      <c r="D19" s="11" t="s">
        <v>70</v>
      </c>
      <c r="E19" s="10" t="s">
        <v>120</v>
      </c>
      <c r="F19" s="12" t="s">
        <v>71</v>
      </c>
      <c r="G19" s="9" t="s">
        <v>121</v>
      </c>
      <c r="H19" s="9" t="s">
        <v>122</v>
      </c>
      <c r="I19" s="15" t="s">
        <v>74</v>
      </c>
      <c r="J19" s="11"/>
    </row>
    <row r="20" customFormat="false" ht="15" hidden="false" customHeight="true" outlineLevel="0" collapsed="false">
      <c r="A20" s="9" t="s">
        <v>37</v>
      </c>
      <c r="B20" s="10" t="n">
        <v>700</v>
      </c>
      <c r="C20" s="14" t="s">
        <v>123</v>
      </c>
      <c r="D20" s="11" t="s">
        <v>70</v>
      </c>
      <c r="E20" s="10" t="s">
        <v>120</v>
      </c>
      <c r="F20" s="12" t="s">
        <v>78</v>
      </c>
      <c r="G20" s="9" t="s">
        <v>124</v>
      </c>
      <c r="H20" s="9" t="s">
        <v>122</v>
      </c>
      <c r="I20" s="15" t="s">
        <v>74</v>
      </c>
      <c r="J20" s="9" t="s">
        <v>125</v>
      </c>
    </row>
    <row r="21" customFormat="false" ht="15" hidden="false" customHeight="true" outlineLevel="0" collapsed="false">
      <c r="A21" s="9" t="s">
        <v>37</v>
      </c>
      <c r="B21" s="10" t="n">
        <v>750</v>
      </c>
      <c r="C21" s="9" t="s">
        <v>126</v>
      </c>
      <c r="D21" s="11" t="s">
        <v>127</v>
      </c>
      <c r="E21" s="10" t="s">
        <v>128</v>
      </c>
      <c r="F21" s="12" t="s">
        <v>78</v>
      </c>
      <c r="G21" s="9" t="s">
        <v>129</v>
      </c>
      <c r="H21" s="11" t="s">
        <v>130</v>
      </c>
      <c r="I21" s="17" t="s">
        <v>95</v>
      </c>
      <c r="J21" s="11"/>
    </row>
    <row r="22" customFormat="false" ht="26.25" hidden="false" customHeight="true" outlineLevel="0" collapsed="false">
      <c r="A22" s="9" t="s">
        <v>37</v>
      </c>
      <c r="B22" s="10" t="n">
        <v>800</v>
      </c>
      <c r="C22" s="9" t="s">
        <v>131</v>
      </c>
      <c r="D22" s="11" t="s">
        <v>132</v>
      </c>
      <c r="E22" s="10" t="s">
        <v>133</v>
      </c>
      <c r="F22" s="12" t="s">
        <v>134</v>
      </c>
      <c r="G22" s="9" t="s">
        <v>135</v>
      </c>
      <c r="H22" s="11" t="s">
        <v>106</v>
      </c>
      <c r="I22" s="18" t="s">
        <v>136</v>
      </c>
      <c r="J22" s="11"/>
    </row>
    <row r="23" customFormat="false" ht="15" hidden="false" customHeight="true" outlineLevel="0" collapsed="false">
      <c r="A23" s="9" t="s">
        <v>37</v>
      </c>
      <c r="B23" s="10" t="n">
        <v>850</v>
      </c>
      <c r="C23" s="9" t="s">
        <v>137</v>
      </c>
      <c r="D23" s="11" t="s">
        <v>138</v>
      </c>
      <c r="E23" s="10" t="s">
        <v>40</v>
      </c>
      <c r="F23" s="12" t="s">
        <v>88</v>
      </c>
      <c r="G23" s="9" t="s">
        <v>139</v>
      </c>
      <c r="H23" s="11" t="s">
        <v>106</v>
      </c>
      <c r="I23" s="19" t="s">
        <v>140</v>
      </c>
      <c r="J23" s="9" t="s">
        <v>141</v>
      </c>
    </row>
    <row r="24" customFormat="false" ht="15" hidden="false" customHeight="true" outlineLevel="0" collapsed="false">
      <c r="A24" s="9" t="s">
        <v>37</v>
      </c>
      <c r="B24" s="10" t="n">
        <v>900</v>
      </c>
      <c r="C24" s="14" t="s">
        <v>142</v>
      </c>
      <c r="D24" s="11" t="s">
        <v>70</v>
      </c>
      <c r="E24" s="10" t="s">
        <v>120</v>
      </c>
      <c r="F24" s="12" t="s">
        <v>78</v>
      </c>
      <c r="G24" s="9" t="s">
        <v>143</v>
      </c>
      <c r="H24" s="9" t="s">
        <v>122</v>
      </c>
      <c r="I24" s="15" t="s">
        <v>74</v>
      </c>
      <c r="J24" s="11"/>
    </row>
    <row r="25" customFormat="false" ht="15" hidden="false" customHeight="true" outlineLevel="0" collapsed="false">
      <c r="A25" s="9" t="s">
        <v>37</v>
      </c>
      <c r="B25" s="10" t="n">
        <v>950</v>
      </c>
      <c r="C25" s="9" t="s">
        <v>144</v>
      </c>
      <c r="D25" s="11" t="s">
        <v>145</v>
      </c>
      <c r="E25" s="10" t="s">
        <v>146</v>
      </c>
      <c r="F25" s="12" t="s">
        <v>147</v>
      </c>
      <c r="G25" s="9" t="s">
        <v>148</v>
      </c>
      <c r="H25" s="11" t="s">
        <v>149</v>
      </c>
      <c r="I25" s="19" t="s">
        <v>150</v>
      </c>
      <c r="J25" s="9" t="s">
        <v>141</v>
      </c>
    </row>
    <row r="26" customFormat="false" ht="15" hidden="false" customHeight="true" outlineLevel="0" collapsed="false">
      <c r="A26" s="9" t="s">
        <v>151</v>
      </c>
      <c r="B26" s="10" t="n">
        <v>10</v>
      </c>
      <c r="C26" s="9" t="s">
        <v>152</v>
      </c>
      <c r="D26" s="11" t="s">
        <v>153</v>
      </c>
      <c r="E26" s="10" t="s">
        <v>40</v>
      </c>
      <c r="F26" s="12" t="s">
        <v>78</v>
      </c>
      <c r="G26" s="9" t="s">
        <v>154</v>
      </c>
      <c r="H26" s="11" t="s">
        <v>155</v>
      </c>
      <c r="I26" s="13" t="s">
        <v>58</v>
      </c>
      <c r="J26" s="11"/>
    </row>
    <row r="27" customFormat="false" ht="15" hidden="false" customHeight="true" outlineLevel="0" collapsed="false">
      <c r="A27" s="9" t="s">
        <v>151</v>
      </c>
      <c r="B27" s="10" t="n">
        <v>150</v>
      </c>
      <c r="C27" s="14" t="s">
        <v>156</v>
      </c>
      <c r="D27" s="11" t="s">
        <v>70</v>
      </c>
      <c r="E27" s="10" t="s">
        <v>40</v>
      </c>
      <c r="F27" s="12" t="s">
        <v>78</v>
      </c>
      <c r="G27" s="9" t="s">
        <v>157</v>
      </c>
      <c r="H27" s="9" t="s">
        <v>122</v>
      </c>
      <c r="I27" s="15" t="s">
        <v>74</v>
      </c>
      <c r="J27" s="11"/>
    </row>
    <row r="28" customFormat="false" ht="15" hidden="false" customHeight="true" outlineLevel="0" collapsed="false">
      <c r="A28" s="9" t="s">
        <v>151</v>
      </c>
      <c r="B28" s="10" t="n">
        <v>300</v>
      </c>
      <c r="C28" s="9" t="s">
        <v>158</v>
      </c>
      <c r="D28" s="11" t="s">
        <v>159</v>
      </c>
      <c r="E28" s="10" t="s">
        <v>40</v>
      </c>
      <c r="F28" s="12" t="s">
        <v>61</v>
      </c>
      <c r="G28" s="11" t="s">
        <v>160</v>
      </c>
      <c r="H28" s="11" t="s">
        <v>161</v>
      </c>
      <c r="I28" s="13" t="s">
        <v>44</v>
      </c>
      <c r="J28" s="11"/>
    </row>
    <row r="29" customFormat="false" ht="15" hidden="false" customHeight="true" outlineLevel="0" collapsed="false">
      <c r="A29" s="9" t="s">
        <v>151</v>
      </c>
      <c r="B29" s="10" t="n">
        <v>350</v>
      </c>
      <c r="C29" s="14" t="s">
        <v>162</v>
      </c>
      <c r="D29" s="11" t="s">
        <v>70</v>
      </c>
      <c r="E29" s="10" t="s">
        <v>100</v>
      </c>
      <c r="F29" s="12" t="s">
        <v>78</v>
      </c>
      <c r="G29" s="9" t="s">
        <v>163</v>
      </c>
      <c r="H29" s="9" t="s">
        <v>122</v>
      </c>
      <c r="I29" s="15" t="s">
        <v>74</v>
      </c>
      <c r="J29" s="11"/>
    </row>
    <row r="30" customFormat="false" ht="15" hidden="false" customHeight="true" outlineLevel="0" collapsed="false">
      <c r="A30" s="9" t="s">
        <v>151</v>
      </c>
      <c r="B30" s="10" t="n">
        <v>450</v>
      </c>
      <c r="C30" s="14" t="s">
        <v>164</v>
      </c>
      <c r="D30" s="11" t="s">
        <v>70</v>
      </c>
      <c r="E30" s="10" t="s">
        <v>109</v>
      </c>
      <c r="F30" s="12" t="s">
        <v>78</v>
      </c>
      <c r="G30" s="9" t="s">
        <v>165</v>
      </c>
      <c r="H30" s="9" t="s">
        <v>122</v>
      </c>
      <c r="I30" s="15" t="s">
        <v>74</v>
      </c>
      <c r="J30" s="11"/>
    </row>
    <row r="31" customFormat="false" ht="15" hidden="false" customHeight="true" outlineLevel="0" collapsed="false">
      <c r="A31" s="9" t="s">
        <v>151</v>
      </c>
      <c r="B31" s="10" t="n">
        <v>500</v>
      </c>
      <c r="C31" s="14" t="s">
        <v>166</v>
      </c>
      <c r="D31" s="11" t="s">
        <v>70</v>
      </c>
      <c r="E31" s="10" t="s">
        <v>109</v>
      </c>
      <c r="F31" s="12" t="s">
        <v>78</v>
      </c>
      <c r="G31" s="9" t="s">
        <v>167</v>
      </c>
      <c r="H31" s="9" t="s">
        <v>122</v>
      </c>
      <c r="I31" s="15" t="s">
        <v>74</v>
      </c>
      <c r="J31" s="11"/>
    </row>
    <row r="32" customFormat="false" ht="15" hidden="false" customHeight="true" outlineLevel="0" collapsed="false">
      <c r="A32" s="9" t="s">
        <v>151</v>
      </c>
      <c r="B32" s="10" t="n">
        <v>550</v>
      </c>
      <c r="C32" s="14" t="s">
        <v>168</v>
      </c>
      <c r="D32" s="11" t="s">
        <v>70</v>
      </c>
      <c r="E32" s="10" t="s">
        <v>109</v>
      </c>
      <c r="F32" s="12" t="s">
        <v>78</v>
      </c>
      <c r="G32" s="9" t="s">
        <v>169</v>
      </c>
      <c r="H32" s="9" t="s">
        <v>122</v>
      </c>
      <c r="I32" s="15" t="s">
        <v>74</v>
      </c>
      <c r="J32" s="11"/>
    </row>
    <row r="33" customFormat="false" ht="15" hidden="false" customHeight="true" outlineLevel="0" collapsed="false">
      <c r="A33" s="9" t="s">
        <v>151</v>
      </c>
      <c r="B33" s="10" t="n">
        <v>600</v>
      </c>
      <c r="C33" s="14" t="s">
        <v>170</v>
      </c>
      <c r="D33" s="11" t="s">
        <v>70</v>
      </c>
      <c r="E33" s="10" t="s">
        <v>109</v>
      </c>
      <c r="F33" s="12" t="s">
        <v>171</v>
      </c>
      <c r="G33" s="9" t="s">
        <v>172</v>
      </c>
      <c r="H33" s="9" t="s">
        <v>122</v>
      </c>
      <c r="I33" s="15" t="s">
        <v>74</v>
      </c>
      <c r="J33" s="11"/>
    </row>
    <row r="34" customFormat="false" ht="15" hidden="false" customHeight="true" outlineLevel="0" collapsed="false">
      <c r="A34" s="9" t="s">
        <v>151</v>
      </c>
      <c r="B34" s="10" t="n">
        <v>650</v>
      </c>
      <c r="C34" s="14" t="s">
        <v>173</v>
      </c>
      <c r="D34" s="11" t="s">
        <v>70</v>
      </c>
      <c r="E34" s="10" t="s">
        <v>109</v>
      </c>
      <c r="F34" s="12" t="s">
        <v>78</v>
      </c>
      <c r="G34" s="9" t="s">
        <v>174</v>
      </c>
      <c r="H34" s="9" t="s">
        <v>122</v>
      </c>
      <c r="I34" s="15" t="s">
        <v>74</v>
      </c>
      <c r="J34" s="11"/>
    </row>
    <row r="35" customFormat="false" ht="15" hidden="false" customHeight="true" outlineLevel="0" collapsed="false">
      <c r="A35" s="9" t="s">
        <v>151</v>
      </c>
      <c r="B35" s="10" t="n">
        <v>700</v>
      </c>
      <c r="C35" s="9" t="s">
        <v>175</v>
      </c>
      <c r="D35" s="11" t="s">
        <v>176</v>
      </c>
      <c r="E35" s="10" t="s">
        <v>70</v>
      </c>
      <c r="F35" s="12" t="s">
        <v>78</v>
      </c>
      <c r="G35" s="9" t="s">
        <v>177</v>
      </c>
      <c r="H35" s="9" t="s">
        <v>178</v>
      </c>
      <c r="I35" s="16" t="s">
        <v>85</v>
      </c>
      <c r="J35" s="11"/>
    </row>
    <row r="36" customFormat="false" ht="15" hidden="false" customHeight="true" outlineLevel="0" collapsed="false">
      <c r="A36" s="9" t="s">
        <v>151</v>
      </c>
      <c r="B36" s="10" t="n">
        <v>750</v>
      </c>
      <c r="C36" s="14" t="s">
        <v>179</v>
      </c>
      <c r="D36" s="11" t="s">
        <v>70</v>
      </c>
      <c r="E36" s="10" t="s">
        <v>109</v>
      </c>
      <c r="F36" s="12" t="s">
        <v>78</v>
      </c>
      <c r="G36" s="9" t="s">
        <v>180</v>
      </c>
      <c r="H36" s="9" t="s">
        <v>122</v>
      </c>
      <c r="I36" s="15" t="s">
        <v>74</v>
      </c>
      <c r="J36" s="9" t="s">
        <v>125</v>
      </c>
    </row>
    <row r="37" customFormat="false" ht="15" hidden="false" customHeight="true" outlineLevel="0" collapsed="false">
      <c r="A37" s="9" t="s">
        <v>151</v>
      </c>
      <c r="B37" s="10" t="n">
        <v>950</v>
      </c>
      <c r="C37" s="14" t="s">
        <v>181</v>
      </c>
      <c r="D37" s="11" t="s">
        <v>70</v>
      </c>
      <c r="E37" s="10" t="s">
        <v>128</v>
      </c>
      <c r="F37" s="12" t="s">
        <v>78</v>
      </c>
      <c r="G37" s="9" t="s">
        <v>182</v>
      </c>
      <c r="H37" s="9" t="s">
        <v>122</v>
      </c>
      <c r="I37" s="15" t="s">
        <v>74</v>
      </c>
      <c r="J37" s="11"/>
    </row>
    <row r="38" customFormat="false" ht="15" hidden="false" customHeight="true" outlineLevel="0" collapsed="false">
      <c r="A38" s="9" t="s">
        <v>183</v>
      </c>
      <c r="B38" s="10" t="n">
        <v>10</v>
      </c>
      <c r="C38" s="14" t="s">
        <v>184</v>
      </c>
      <c r="D38" s="11" t="s">
        <v>70</v>
      </c>
      <c r="E38" s="10" t="s">
        <v>40</v>
      </c>
      <c r="F38" s="12" t="s">
        <v>78</v>
      </c>
      <c r="G38" s="9" t="s">
        <v>185</v>
      </c>
      <c r="H38" s="9" t="s">
        <v>73</v>
      </c>
      <c r="I38" s="15" t="s">
        <v>74</v>
      </c>
      <c r="J38" s="11"/>
    </row>
    <row r="39" customFormat="false" ht="15" hidden="false" customHeight="true" outlineLevel="0" collapsed="false">
      <c r="A39" s="9" t="s">
        <v>183</v>
      </c>
      <c r="B39" s="10" t="n">
        <v>150</v>
      </c>
      <c r="C39" s="9" t="s">
        <v>186</v>
      </c>
      <c r="D39" s="11" t="s">
        <v>187</v>
      </c>
      <c r="E39" s="10" t="s">
        <v>40</v>
      </c>
      <c r="F39" s="12" t="s">
        <v>71</v>
      </c>
      <c r="G39" s="9" t="s">
        <v>188</v>
      </c>
      <c r="H39" s="11" t="s">
        <v>189</v>
      </c>
      <c r="I39" s="19" t="s">
        <v>150</v>
      </c>
      <c r="J39" s="9" t="s">
        <v>141</v>
      </c>
    </row>
    <row r="40" customFormat="false" ht="15" hidden="false" customHeight="true" outlineLevel="0" collapsed="false">
      <c r="A40" s="9" t="s">
        <v>183</v>
      </c>
      <c r="B40" s="10" t="n">
        <v>180</v>
      </c>
      <c r="C40" s="14" t="s">
        <v>190</v>
      </c>
      <c r="D40" s="11" t="s">
        <v>70</v>
      </c>
      <c r="E40" s="10" t="s">
        <v>77</v>
      </c>
      <c r="F40" s="12" t="s">
        <v>78</v>
      </c>
      <c r="G40" s="9" t="s">
        <v>191</v>
      </c>
      <c r="H40" s="9" t="s">
        <v>122</v>
      </c>
      <c r="I40" s="15" t="s">
        <v>74</v>
      </c>
      <c r="J40" s="11"/>
    </row>
    <row r="41" customFormat="false" ht="15" hidden="false" customHeight="true" outlineLevel="0" collapsed="false">
      <c r="A41" s="9" t="s">
        <v>183</v>
      </c>
      <c r="B41" s="10" t="n">
        <v>200</v>
      </c>
      <c r="C41" s="9" t="s">
        <v>192</v>
      </c>
      <c r="D41" s="11" t="s">
        <v>193</v>
      </c>
      <c r="E41" s="10" t="s">
        <v>40</v>
      </c>
      <c r="F41" s="12" t="s">
        <v>61</v>
      </c>
      <c r="G41" s="9" t="s">
        <v>194</v>
      </c>
      <c r="H41" s="11" t="s">
        <v>195</v>
      </c>
      <c r="I41" s="13" t="s">
        <v>58</v>
      </c>
      <c r="J41" s="11"/>
    </row>
    <row r="42" customFormat="false" ht="15" hidden="false" customHeight="true" outlineLevel="0" collapsed="false">
      <c r="A42" s="9" t="s">
        <v>183</v>
      </c>
      <c r="B42" s="10" t="n">
        <v>220</v>
      </c>
      <c r="C42" s="14" t="s">
        <v>196</v>
      </c>
      <c r="D42" s="11" t="s">
        <v>70</v>
      </c>
      <c r="E42" s="10" t="s">
        <v>77</v>
      </c>
      <c r="F42" s="12" t="s">
        <v>78</v>
      </c>
      <c r="G42" s="9" t="s">
        <v>197</v>
      </c>
      <c r="H42" s="9" t="s">
        <v>122</v>
      </c>
      <c r="I42" s="15" t="s">
        <v>74</v>
      </c>
      <c r="J42" s="11"/>
    </row>
    <row r="43" customFormat="false" ht="15" hidden="false" customHeight="true" outlineLevel="0" collapsed="false">
      <c r="A43" s="9" t="s">
        <v>183</v>
      </c>
      <c r="B43" s="10" t="n">
        <v>250</v>
      </c>
      <c r="C43" s="14" t="s">
        <v>198</v>
      </c>
      <c r="D43" s="11" t="s">
        <v>70</v>
      </c>
      <c r="E43" s="10" t="s">
        <v>77</v>
      </c>
      <c r="F43" s="12" t="s">
        <v>78</v>
      </c>
      <c r="G43" s="9" t="s">
        <v>199</v>
      </c>
      <c r="H43" s="9" t="s">
        <v>122</v>
      </c>
      <c r="I43" s="15" t="s">
        <v>74</v>
      </c>
      <c r="J43" s="11"/>
    </row>
    <row r="44" customFormat="false" ht="15" hidden="false" customHeight="true" outlineLevel="0" collapsed="false">
      <c r="A44" s="9" t="s">
        <v>183</v>
      </c>
      <c r="B44" s="10" t="n">
        <v>300</v>
      </c>
      <c r="C44" s="14" t="s">
        <v>200</v>
      </c>
      <c r="D44" s="11" t="s">
        <v>70</v>
      </c>
      <c r="E44" s="10" t="s">
        <v>40</v>
      </c>
      <c r="F44" s="12" t="s">
        <v>61</v>
      </c>
      <c r="G44" s="9" t="s">
        <v>201</v>
      </c>
      <c r="H44" s="9" t="s">
        <v>73</v>
      </c>
      <c r="I44" s="15" t="s">
        <v>74</v>
      </c>
      <c r="J44" s="11"/>
    </row>
    <row r="45" customFormat="false" ht="15" hidden="false" customHeight="true" outlineLevel="0" collapsed="false">
      <c r="A45" s="9" t="s">
        <v>183</v>
      </c>
      <c r="B45" s="10" t="n">
        <v>350</v>
      </c>
      <c r="C45" s="14" t="s">
        <v>202</v>
      </c>
      <c r="D45" s="11" t="s">
        <v>70</v>
      </c>
      <c r="E45" s="10" t="s">
        <v>100</v>
      </c>
      <c r="F45" s="12" t="s">
        <v>71</v>
      </c>
      <c r="G45" s="9" t="s">
        <v>203</v>
      </c>
      <c r="H45" s="9" t="s">
        <v>122</v>
      </c>
      <c r="I45" s="15" t="s">
        <v>74</v>
      </c>
      <c r="J45" s="11"/>
    </row>
    <row r="46" customFormat="false" ht="15" hidden="false" customHeight="true" outlineLevel="0" collapsed="false">
      <c r="A46" s="9" t="s">
        <v>183</v>
      </c>
      <c r="B46" s="10" t="n">
        <v>400</v>
      </c>
      <c r="C46" s="14" t="s">
        <v>204</v>
      </c>
      <c r="D46" s="11" t="s">
        <v>70</v>
      </c>
      <c r="E46" s="10" t="s">
        <v>100</v>
      </c>
      <c r="F46" s="12" t="s">
        <v>171</v>
      </c>
      <c r="G46" s="9" t="s">
        <v>205</v>
      </c>
      <c r="H46" s="9" t="s">
        <v>122</v>
      </c>
      <c r="I46" s="15" t="s">
        <v>74</v>
      </c>
      <c r="J46" s="11"/>
    </row>
    <row r="47" customFormat="false" ht="15" hidden="false" customHeight="true" outlineLevel="0" collapsed="false">
      <c r="A47" s="9" t="s">
        <v>183</v>
      </c>
      <c r="B47" s="10" t="n">
        <v>450</v>
      </c>
      <c r="C47" s="9" t="s">
        <v>206</v>
      </c>
      <c r="D47" s="11" t="s">
        <v>207</v>
      </c>
      <c r="E47" s="10" t="s">
        <v>109</v>
      </c>
      <c r="F47" s="12" t="s">
        <v>71</v>
      </c>
      <c r="G47" s="9" t="s">
        <v>208</v>
      </c>
      <c r="H47" s="11" t="s">
        <v>195</v>
      </c>
      <c r="I47" s="13" t="s">
        <v>58</v>
      </c>
      <c r="J47" s="9" t="s">
        <v>209</v>
      </c>
    </row>
    <row r="48" customFormat="false" ht="15" hidden="false" customHeight="true" outlineLevel="0" collapsed="false">
      <c r="A48" s="9" t="s">
        <v>183</v>
      </c>
      <c r="B48" s="10" t="n">
        <v>500</v>
      </c>
      <c r="C48" s="14" t="s">
        <v>210</v>
      </c>
      <c r="D48" s="11" t="s">
        <v>70</v>
      </c>
      <c r="E48" s="10" t="s">
        <v>211</v>
      </c>
      <c r="F48" s="12" t="s">
        <v>212</v>
      </c>
      <c r="G48" s="11" t="s">
        <v>213</v>
      </c>
      <c r="H48" s="9" t="s">
        <v>73</v>
      </c>
      <c r="I48" s="15" t="s">
        <v>74</v>
      </c>
      <c r="J48" s="11"/>
    </row>
    <row r="49" customFormat="false" ht="15" hidden="false" customHeight="true" outlineLevel="0" collapsed="false">
      <c r="A49" s="9" t="s">
        <v>183</v>
      </c>
      <c r="B49" s="10" t="n">
        <v>550</v>
      </c>
      <c r="C49" s="14" t="s">
        <v>214</v>
      </c>
      <c r="D49" s="11" t="s">
        <v>70</v>
      </c>
      <c r="E49" s="10" t="s">
        <v>100</v>
      </c>
      <c r="F49" s="12" t="s">
        <v>212</v>
      </c>
      <c r="G49" s="9" t="s">
        <v>215</v>
      </c>
      <c r="H49" s="9" t="s">
        <v>73</v>
      </c>
      <c r="I49" s="15" t="s">
        <v>74</v>
      </c>
      <c r="J49" s="11"/>
    </row>
    <row r="50" customFormat="false" ht="15" hidden="false" customHeight="true" outlineLevel="0" collapsed="false">
      <c r="A50" s="9" t="s">
        <v>183</v>
      </c>
      <c r="B50" s="10" t="n">
        <v>600</v>
      </c>
      <c r="C50" s="14" t="s">
        <v>216</v>
      </c>
      <c r="D50" s="11" t="s">
        <v>70</v>
      </c>
      <c r="E50" s="10" t="s">
        <v>211</v>
      </c>
      <c r="F50" s="12" t="s">
        <v>71</v>
      </c>
      <c r="G50" s="9" t="s">
        <v>217</v>
      </c>
      <c r="H50" s="9" t="s">
        <v>122</v>
      </c>
      <c r="I50" s="15" t="s">
        <v>74</v>
      </c>
      <c r="J50" s="11"/>
    </row>
    <row r="51" customFormat="false" ht="15" hidden="false" customHeight="true" outlineLevel="0" collapsed="false">
      <c r="A51" s="9" t="s">
        <v>183</v>
      </c>
      <c r="B51" s="10" t="n">
        <v>620</v>
      </c>
      <c r="C51" s="14" t="s">
        <v>218</v>
      </c>
      <c r="D51" s="11" t="s">
        <v>70</v>
      </c>
      <c r="E51" s="12" t="s">
        <v>219</v>
      </c>
      <c r="F51" s="12" t="s">
        <v>78</v>
      </c>
      <c r="G51" s="9" t="s">
        <v>220</v>
      </c>
      <c r="H51" s="9" t="s">
        <v>73</v>
      </c>
      <c r="I51" s="15" t="s">
        <v>74</v>
      </c>
      <c r="J51" s="11"/>
    </row>
    <row r="52" customFormat="false" ht="15" hidden="false" customHeight="true" outlineLevel="0" collapsed="false">
      <c r="A52" s="9" t="s">
        <v>183</v>
      </c>
      <c r="B52" s="10" t="n">
        <v>650</v>
      </c>
      <c r="C52" s="14" t="s">
        <v>221</v>
      </c>
      <c r="D52" s="11" t="s">
        <v>70</v>
      </c>
      <c r="E52" s="12" t="s">
        <v>219</v>
      </c>
      <c r="F52" s="12" t="s">
        <v>78</v>
      </c>
      <c r="G52" s="9" t="s">
        <v>222</v>
      </c>
      <c r="H52" s="9" t="s">
        <v>73</v>
      </c>
      <c r="I52" s="15" t="s">
        <v>74</v>
      </c>
      <c r="J52" s="11"/>
    </row>
    <row r="53" customFormat="false" ht="15" hidden="false" customHeight="true" outlineLevel="0" collapsed="false">
      <c r="A53" s="9" t="s">
        <v>183</v>
      </c>
      <c r="B53" s="10" t="n">
        <v>750</v>
      </c>
      <c r="C53" s="14" t="s">
        <v>223</v>
      </c>
      <c r="D53" s="11" t="s">
        <v>70</v>
      </c>
      <c r="E53" s="10" t="s">
        <v>109</v>
      </c>
      <c r="F53" s="12" t="s">
        <v>71</v>
      </c>
      <c r="G53" s="9" t="s">
        <v>224</v>
      </c>
      <c r="H53" s="9" t="s">
        <v>122</v>
      </c>
      <c r="I53" s="15" t="s">
        <v>74</v>
      </c>
      <c r="J53" s="9" t="s">
        <v>125</v>
      </c>
    </row>
    <row r="54" customFormat="false" ht="15" hidden="false" customHeight="true" outlineLevel="0" collapsed="false">
      <c r="A54" s="9" t="s">
        <v>183</v>
      </c>
      <c r="B54" s="10" t="n">
        <v>850</v>
      </c>
      <c r="C54" s="14" t="s">
        <v>225</v>
      </c>
      <c r="D54" s="11" t="s">
        <v>70</v>
      </c>
      <c r="E54" s="10" t="s">
        <v>226</v>
      </c>
      <c r="F54" s="12" t="s">
        <v>78</v>
      </c>
      <c r="G54" s="9" t="s">
        <v>227</v>
      </c>
      <c r="H54" s="9" t="s">
        <v>122</v>
      </c>
      <c r="I54" s="15" t="s">
        <v>74</v>
      </c>
      <c r="J54" s="11"/>
    </row>
    <row r="55" customFormat="false" ht="15" hidden="false" customHeight="true" outlineLevel="0" collapsed="false">
      <c r="A55" s="9" t="s">
        <v>183</v>
      </c>
      <c r="B55" s="10" t="n">
        <v>950</v>
      </c>
      <c r="C55" s="14" t="s">
        <v>228</v>
      </c>
      <c r="D55" s="11" t="s">
        <v>70</v>
      </c>
      <c r="E55" s="10" t="s">
        <v>109</v>
      </c>
      <c r="F55" s="12" t="s">
        <v>71</v>
      </c>
      <c r="G55" s="9" t="s">
        <v>229</v>
      </c>
      <c r="H55" s="9" t="s">
        <v>122</v>
      </c>
      <c r="I55" s="15" t="s">
        <v>74</v>
      </c>
      <c r="J55" s="11"/>
    </row>
    <row r="56" customFormat="false" ht="15" hidden="false" customHeight="true" outlineLevel="0" collapsed="false">
      <c r="A56" s="9" t="s">
        <v>230</v>
      </c>
      <c r="B56" s="10" t="n">
        <v>1</v>
      </c>
      <c r="C56" s="9" t="s">
        <v>231</v>
      </c>
      <c r="D56" s="11" t="s">
        <v>232</v>
      </c>
      <c r="E56" s="10" t="s">
        <v>40</v>
      </c>
      <c r="F56" s="12" t="s">
        <v>71</v>
      </c>
      <c r="G56" s="9" t="s">
        <v>233</v>
      </c>
      <c r="H56" s="9" t="s">
        <v>234</v>
      </c>
      <c r="I56" s="13" t="s">
        <v>44</v>
      </c>
      <c r="J56" s="9" t="s">
        <v>235</v>
      </c>
    </row>
    <row r="57" customFormat="false" ht="15" hidden="false" customHeight="true" outlineLevel="0" collapsed="false">
      <c r="A57" s="9" t="s">
        <v>230</v>
      </c>
      <c r="B57" s="10" t="n">
        <v>30</v>
      </c>
      <c r="C57" s="9" t="s">
        <v>236</v>
      </c>
      <c r="D57" s="11" t="s">
        <v>237</v>
      </c>
      <c r="E57" s="10" t="s">
        <v>40</v>
      </c>
      <c r="F57" s="12" t="s">
        <v>78</v>
      </c>
      <c r="G57" s="9" t="s">
        <v>238</v>
      </c>
      <c r="H57" s="9" t="s">
        <v>68</v>
      </c>
      <c r="I57" s="16" t="s">
        <v>85</v>
      </c>
      <c r="J57" s="11"/>
    </row>
    <row r="58" customFormat="false" ht="15" hidden="false" customHeight="true" outlineLevel="0" collapsed="false">
      <c r="A58" s="9" t="s">
        <v>230</v>
      </c>
      <c r="B58" s="10" t="n">
        <v>40</v>
      </c>
      <c r="C58" s="14" t="s">
        <v>239</v>
      </c>
      <c r="D58" s="11" t="s">
        <v>70</v>
      </c>
      <c r="E58" s="10" t="s">
        <v>40</v>
      </c>
      <c r="F58" s="12" t="s">
        <v>78</v>
      </c>
      <c r="G58" s="9" t="s">
        <v>240</v>
      </c>
      <c r="H58" s="9" t="s">
        <v>122</v>
      </c>
      <c r="I58" s="15" t="s">
        <v>74</v>
      </c>
      <c r="J58" s="11" t="s">
        <v>241</v>
      </c>
    </row>
    <row r="59" customFormat="false" ht="15" hidden="false" customHeight="true" outlineLevel="0" collapsed="false">
      <c r="A59" s="9" t="s">
        <v>230</v>
      </c>
      <c r="B59" s="10" t="n">
        <v>60</v>
      </c>
      <c r="C59" s="9" t="s">
        <v>242</v>
      </c>
      <c r="D59" s="11" t="s">
        <v>243</v>
      </c>
      <c r="E59" s="10" t="s">
        <v>40</v>
      </c>
      <c r="F59" s="12" t="s">
        <v>71</v>
      </c>
      <c r="G59" s="9" t="s">
        <v>244</v>
      </c>
      <c r="H59" s="9" t="s">
        <v>102</v>
      </c>
      <c r="I59" s="16" t="s">
        <v>85</v>
      </c>
      <c r="J59" s="11"/>
    </row>
    <row r="60" customFormat="false" ht="15" hidden="false" customHeight="true" outlineLevel="0" collapsed="false">
      <c r="A60" s="9" t="s">
        <v>230</v>
      </c>
      <c r="B60" s="10" t="n">
        <v>80</v>
      </c>
      <c r="C60" s="14" t="s">
        <v>245</v>
      </c>
      <c r="D60" s="11" t="s">
        <v>70</v>
      </c>
      <c r="E60" s="10" t="s">
        <v>40</v>
      </c>
      <c r="F60" s="12" t="s">
        <v>71</v>
      </c>
      <c r="G60" s="9" t="s">
        <v>246</v>
      </c>
      <c r="H60" s="9" t="s">
        <v>73</v>
      </c>
      <c r="I60" s="15" t="s">
        <v>74</v>
      </c>
      <c r="J60" s="11"/>
    </row>
    <row r="61" customFormat="false" ht="15" hidden="false" customHeight="true" outlineLevel="0" collapsed="false">
      <c r="A61" s="9" t="s">
        <v>230</v>
      </c>
      <c r="B61" s="10" t="n">
        <v>100</v>
      </c>
      <c r="C61" s="9" t="s">
        <v>247</v>
      </c>
      <c r="D61" s="11" t="s">
        <v>248</v>
      </c>
      <c r="E61" s="10" t="s">
        <v>40</v>
      </c>
      <c r="F61" s="12" t="s">
        <v>78</v>
      </c>
      <c r="G61" s="9" t="s">
        <v>249</v>
      </c>
      <c r="H61" s="9" t="s">
        <v>250</v>
      </c>
      <c r="I61" s="16" t="s">
        <v>85</v>
      </c>
      <c r="J61" s="11"/>
    </row>
    <row r="62" customFormat="false" ht="15" hidden="false" customHeight="true" outlineLevel="0" collapsed="false">
      <c r="A62" s="9" t="s">
        <v>230</v>
      </c>
      <c r="B62" s="10" t="n">
        <v>120</v>
      </c>
      <c r="C62" s="14" t="s">
        <v>251</v>
      </c>
      <c r="D62" s="11" t="s">
        <v>70</v>
      </c>
      <c r="E62" s="10" t="s">
        <v>77</v>
      </c>
      <c r="F62" s="12" t="s">
        <v>78</v>
      </c>
      <c r="G62" s="9" t="s">
        <v>252</v>
      </c>
      <c r="H62" s="9" t="s">
        <v>122</v>
      </c>
      <c r="I62" s="15" t="s">
        <v>74</v>
      </c>
      <c r="J62" s="11" t="s">
        <v>241</v>
      </c>
    </row>
    <row r="63" customFormat="false" ht="15" hidden="false" customHeight="true" outlineLevel="0" collapsed="false">
      <c r="A63" s="9" t="s">
        <v>230</v>
      </c>
      <c r="B63" s="10" t="n">
        <v>130</v>
      </c>
      <c r="C63" s="14" t="s">
        <v>253</v>
      </c>
      <c r="D63" s="11" t="s">
        <v>70</v>
      </c>
      <c r="E63" s="10" t="s">
        <v>77</v>
      </c>
      <c r="F63" s="12" t="s">
        <v>78</v>
      </c>
      <c r="G63" s="9" t="s">
        <v>254</v>
      </c>
      <c r="H63" s="9" t="s">
        <v>122</v>
      </c>
      <c r="I63" s="15" t="s">
        <v>74</v>
      </c>
      <c r="J63" s="11" t="s">
        <v>241</v>
      </c>
    </row>
    <row r="64" customFormat="false" ht="29.25" hidden="false" customHeight="true" outlineLevel="0" collapsed="false">
      <c r="A64" s="9" t="s">
        <v>230</v>
      </c>
      <c r="B64" s="10" t="n">
        <v>150</v>
      </c>
      <c r="C64" s="9" t="s">
        <v>255</v>
      </c>
      <c r="D64" s="11" t="s">
        <v>256</v>
      </c>
      <c r="E64" s="10" t="s">
        <v>77</v>
      </c>
      <c r="F64" s="12" t="s">
        <v>71</v>
      </c>
      <c r="G64" s="9" t="s">
        <v>257</v>
      </c>
      <c r="H64" s="9" t="s">
        <v>258</v>
      </c>
      <c r="I64" s="16" t="s">
        <v>85</v>
      </c>
      <c r="J64" s="11"/>
    </row>
    <row r="65" customFormat="false" ht="15" hidden="false" customHeight="true" outlineLevel="0" collapsed="false">
      <c r="A65" s="9" t="s">
        <v>230</v>
      </c>
      <c r="B65" s="10" t="n">
        <v>200</v>
      </c>
      <c r="C65" s="9" t="s">
        <v>259</v>
      </c>
      <c r="D65" s="11" t="s">
        <v>260</v>
      </c>
      <c r="E65" s="10" t="s">
        <v>77</v>
      </c>
      <c r="F65" s="12" t="s">
        <v>71</v>
      </c>
      <c r="G65" s="9" t="s">
        <v>261</v>
      </c>
      <c r="H65" s="9" t="s">
        <v>262</v>
      </c>
      <c r="I65" s="16" t="s">
        <v>85</v>
      </c>
      <c r="J65" s="11"/>
    </row>
    <row r="66" customFormat="false" ht="15" hidden="false" customHeight="true" outlineLevel="0" collapsed="false">
      <c r="A66" s="9" t="s">
        <v>230</v>
      </c>
      <c r="B66" s="10" t="n">
        <v>250</v>
      </c>
      <c r="C66" s="9" t="s">
        <v>263</v>
      </c>
      <c r="D66" s="11" t="s">
        <v>264</v>
      </c>
      <c r="E66" s="10" t="s">
        <v>40</v>
      </c>
      <c r="F66" s="12" t="s">
        <v>61</v>
      </c>
      <c r="G66" s="9" t="s">
        <v>265</v>
      </c>
      <c r="H66" s="9" t="s">
        <v>266</v>
      </c>
      <c r="I66" s="16" t="s">
        <v>85</v>
      </c>
      <c r="J66" s="11"/>
    </row>
    <row r="67" customFormat="false" ht="15" hidden="false" customHeight="true" outlineLevel="0" collapsed="false">
      <c r="A67" s="9" t="s">
        <v>230</v>
      </c>
      <c r="B67" s="10" t="n">
        <v>300</v>
      </c>
      <c r="C67" s="14" t="s">
        <v>267</v>
      </c>
      <c r="D67" s="11" t="s">
        <v>70</v>
      </c>
      <c r="E67" s="10" t="s">
        <v>100</v>
      </c>
      <c r="F67" s="12" t="s">
        <v>71</v>
      </c>
      <c r="G67" s="9" t="s">
        <v>268</v>
      </c>
      <c r="H67" s="9" t="s">
        <v>122</v>
      </c>
      <c r="I67" s="15" t="s">
        <v>74</v>
      </c>
      <c r="J67" s="11"/>
    </row>
    <row r="68" customFormat="false" ht="15" hidden="false" customHeight="true" outlineLevel="0" collapsed="false">
      <c r="A68" s="9" t="s">
        <v>230</v>
      </c>
      <c r="B68" s="10" t="n">
        <v>320</v>
      </c>
      <c r="C68" s="14" t="s">
        <v>269</v>
      </c>
      <c r="D68" s="11" t="s">
        <v>70</v>
      </c>
      <c r="E68" s="10" t="s">
        <v>100</v>
      </c>
      <c r="F68" s="12" t="s">
        <v>71</v>
      </c>
      <c r="G68" s="9" t="s">
        <v>270</v>
      </c>
      <c r="H68" s="9" t="s">
        <v>122</v>
      </c>
      <c r="I68" s="15" t="s">
        <v>74</v>
      </c>
      <c r="J68" s="11"/>
    </row>
    <row r="69" customFormat="false" ht="15" hidden="false" customHeight="true" outlineLevel="0" collapsed="false">
      <c r="A69" s="9" t="s">
        <v>230</v>
      </c>
      <c r="B69" s="10" t="n">
        <v>350</v>
      </c>
      <c r="C69" s="9" t="s">
        <v>271</v>
      </c>
      <c r="D69" s="11" t="s">
        <v>272</v>
      </c>
      <c r="E69" s="10" t="s">
        <v>100</v>
      </c>
      <c r="F69" s="12" t="s">
        <v>71</v>
      </c>
      <c r="G69" s="9" t="s">
        <v>273</v>
      </c>
      <c r="H69" s="9" t="s">
        <v>274</v>
      </c>
      <c r="I69" s="16" t="s">
        <v>85</v>
      </c>
      <c r="J69" s="11"/>
    </row>
    <row r="70" customFormat="false" ht="15" hidden="false" customHeight="true" outlineLevel="0" collapsed="false">
      <c r="A70" s="9" t="s">
        <v>230</v>
      </c>
      <c r="B70" s="10" t="n">
        <v>400</v>
      </c>
      <c r="C70" s="14" t="s">
        <v>275</v>
      </c>
      <c r="D70" s="11" t="s">
        <v>70</v>
      </c>
      <c r="E70" s="10" t="s">
        <v>100</v>
      </c>
      <c r="F70" s="12" t="s">
        <v>78</v>
      </c>
      <c r="G70" s="9" t="s">
        <v>276</v>
      </c>
      <c r="H70" s="9" t="s">
        <v>122</v>
      </c>
      <c r="I70" s="15" t="s">
        <v>74</v>
      </c>
      <c r="J70" s="11"/>
    </row>
    <row r="71" customFormat="false" ht="15" hidden="false" customHeight="true" outlineLevel="0" collapsed="false">
      <c r="A71" s="9" t="s">
        <v>230</v>
      </c>
      <c r="B71" s="10" t="n">
        <v>450</v>
      </c>
      <c r="C71" s="9" t="s">
        <v>277</v>
      </c>
      <c r="D71" s="11" t="s">
        <v>278</v>
      </c>
      <c r="E71" s="10" t="s">
        <v>109</v>
      </c>
      <c r="F71" s="12" t="s">
        <v>71</v>
      </c>
      <c r="G71" s="9" t="s">
        <v>279</v>
      </c>
      <c r="H71" s="11" t="s">
        <v>280</v>
      </c>
      <c r="I71" s="13" t="s">
        <v>281</v>
      </c>
      <c r="J71" s="11"/>
    </row>
    <row r="72" customFormat="false" ht="15" hidden="false" customHeight="true" outlineLevel="0" collapsed="false">
      <c r="A72" s="9" t="s">
        <v>230</v>
      </c>
      <c r="B72" s="10" t="n">
        <v>480</v>
      </c>
      <c r="C72" s="14" t="s">
        <v>282</v>
      </c>
      <c r="D72" s="11" t="s">
        <v>70</v>
      </c>
      <c r="E72" s="10" t="s">
        <v>109</v>
      </c>
      <c r="F72" s="12" t="s">
        <v>71</v>
      </c>
      <c r="G72" s="9" t="s">
        <v>283</v>
      </c>
      <c r="H72" s="9" t="s">
        <v>73</v>
      </c>
      <c r="I72" s="15" t="s">
        <v>74</v>
      </c>
      <c r="J72" s="11"/>
    </row>
    <row r="73" customFormat="false" ht="15" hidden="false" customHeight="true" outlineLevel="0" collapsed="false">
      <c r="A73" s="9" t="s">
        <v>230</v>
      </c>
      <c r="B73" s="10" t="n">
        <v>500</v>
      </c>
      <c r="C73" s="14" t="s">
        <v>284</v>
      </c>
      <c r="D73" s="11" t="s">
        <v>70</v>
      </c>
      <c r="E73" s="10" t="s">
        <v>109</v>
      </c>
      <c r="F73" s="12" t="s">
        <v>78</v>
      </c>
      <c r="G73" s="9" t="s">
        <v>285</v>
      </c>
      <c r="H73" s="9" t="s">
        <v>73</v>
      </c>
      <c r="I73" s="15" t="s">
        <v>74</v>
      </c>
      <c r="J73" s="11"/>
    </row>
    <row r="74" customFormat="false" ht="15" hidden="false" customHeight="true" outlineLevel="0" collapsed="false">
      <c r="A74" s="9" t="s">
        <v>230</v>
      </c>
      <c r="B74" s="10" t="n">
        <v>550</v>
      </c>
      <c r="C74" s="14" t="s">
        <v>286</v>
      </c>
      <c r="D74" s="11" t="s">
        <v>70</v>
      </c>
      <c r="E74" s="10" t="s">
        <v>211</v>
      </c>
      <c r="F74" s="12" t="s">
        <v>71</v>
      </c>
      <c r="G74" s="9" t="s">
        <v>287</v>
      </c>
      <c r="H74" s="9" t="s">
        <v>122</v>
      </c>
      <c r="I74" s="15" t="s">
        <v>74</v>
      </c>
      <c r="J74" s="11"/>
    </row>
    <row r="75" customFormat="false" ht="15" hidden="false" customHeight="true" outlineLevel="0" collapsed="false">
      <c r="A75" s="9" t="s">
        <v>230</v>
      </c>
      <c r="B75" s="10" t="n">
        <v>600</v>
      </c>
      <c r="C75" s="9" t="s">
        <v>288</v>
      </c>
      <c r="D75" s="11" t="s">
        <v>289</v>
      </c>
      <c r="E75" s="10" t="s">
        <v>211</v>
      </c>
      <c r="F75" s="12" t="s">
        <v>71</v>
      </c>
      <c r="G75" s="9" t="s">
        <v>290</v>
      </c>
      <c r="H75" s="11" t="s">
        <v>106</v>
      </c>
      <c r="I75" s="17" t="s">
        <v>95</v>
      </c>
      <c r="J75" s="11"/>
    </row>
    <row r="76" customFormat="false" ht="15" hidden="false" customHeight="true" outlineLevel="0" collapsed="false">
      <c r="A76" s="9" t="s">
        <v>230</v>
      </c>
      <c r="B76" s="10" t="n">
        <v>700</v>
      </c>
      <c r="C76" s="9" t="s">
        <v>291</v>
      </c>
      <c r="D76" s="11" t="s">
        <v>292</v>
      </c>
      <c r="E76" s="10" t="s">
        <v>40</v>
      </c>
      <c r="F76" s="12" t="s">
        <v>61</v>
      </c>
      <c r="G76" s="9" t="s">
        <v>293</v>
      </c>
      <c r="H76" s="11" t="s">
        <v>294</v>
      </c>
      <c r="I76" s="13" t="s">
        <v>58</v>
      </c>
      <c r="J76" s="11"/>
    </row>
    <row r="77" customFormat="false" ht="26.25" hidden="false" customHeight="true" outlineLevel="0" collapsed="false">
      <c r="A77" s="9" t="s">
        <v>230</v>
      </c>
      <c r="B77" s="10" t="n">
        <v>800</v>
      </c>
      <c r="C77" s="9" t="s">
        <v>295</v>
      </c>
      <c r="D77" s="11" t="s">
        <v>296</v>
      </c>
      <c r="E77" s="10" t="s">
        <v>133</v>
      </c>
      <c r="F77" s="12" t="s">
        <v>71</v>
      </c>
      <c r="G77" s="9" t="s">
        <v>297</v>
      </c>
      <c r="H77" s="11" t="s">
        <v>298</v>
      </c>
      <c r="I77" s="18" t="s">
        <v>136</v>
      </c>
      <c r="J77" s="11"/>
    </row>
    <row r="78" customFormat="false" ht="15" hidden="false" customHeight="true" outlineLevel="0" collapsed="false">
      <c r="A78" s="9" t="s">
        <v>230</v>
      </c>
      <c r="B78" s="10" t="n">
        <v>850</v>
      </c>
      <c r="C78" s="9" t="s">
        <v>299</v>
      </c>
      <c r="D78" s="11" t="s">
        <v>300</v>
      </c>
      <c r="E78" s="10" t="s">
        <v>120</v>
      </c>
      <c r="F78" s="12" t="s">
        <v>71</v>
      </c>
      <c r="G78" s="9" t="s">
        <v>301</v>
      </c>
      <c r="H78" s="11" t="s">
        <v>149</v>
      </c>
      <c r="I78" s="19" t="s">
        <v>150</v>
      </c>
      <c r="J78" s="9" t="s">
        <v>141</v>
      </c>
    </row>
    <row r="79" customFormat="false" ht="15" hidden="false" customHeight="true" outlineLevel="0" collapsed="false">
      <c r="A79" s="9" t="s">
        <v>230</v>
      </c>
      <c r="B79" s="10" t="n">
        <v>880</v>
      </c>
      <c r="C79" s="14" t="s">
        <v>302</v>
      </c>
      <c r="D79" s="11" t="s">
        <v>70</v>
      </c>
      <c r="E79" s="10" t="s">
        <v>226</v>
      </c>
      <c r="F79" s="12" t="s">
        <v>71</v>
      </c>
      <c r="G79" s="9" t="s">
        <v>303</v>
      </c>
      <c r="H79" s="9" t="s">
        <v>122</v>
      </c>
      <c r="I79" s="15" t="s">
        <v>74</v>
      </c>
      <c r="J79" s="9" t="s">
        <v>125</v>
      </c>
    </row>
    <row r="80" customFormat="false" ht="15" hidden="false" customHeight="true" outlineLevel="0" collapsed="false">
      <c r="A80" s="9" t="s">
        <v>230</v>
      </c>
      <c r="B80" s="10" t="n">
        <v>950</v>
      </c>
      <c r="C80" s="14" t="s">
        <v>304</v>
      </c>
      <c r="D80" s="11" t="s">
        <v>70</v>
      </c>
      <c r="E80" s="10" t="s">
        <v>146</v>
      </c>
      <c r="F80" s="12" t="s">
        <v>71</v>
      </c>
      <c r="G80" s="9" t="s">
        <v>305</v>
      </c>
      <c r="H80" s="9" t="s">
        <v>122</v>
      </c>
      <c r="I80" s="15" t="s">
        <v>74</v>
      </c>
      <c r="J80" s="11" t="s">
        <v>241</v>
      </c>
    </row>
    <row r="81" customFormat="false" ht="15" hidden="false" customHeight="true" outlineLevel="0" collapsed="false">
      <c r="A81" s="9" t="s">
        <v>306</v>
      </c>
      <c r="B81" s="10" t="n">
        <v>50</v>
      </c>
      <c r="C81" s="9" t="s">
        <v>307</v>
      </c>
      <c r="D81" s="11" t="s">
        <v>308</v>
      </c>
      <c r="E81" s="10" t="s">
        <v>40</v>
      </c>
      <c r="F81" s="12" t="s">
        <v>78</v>
      </c>
      <c r="G81" s="9" t="s">
        <v>309</v>
      </c>
      <c r="H81" s="9" t="s">
        <v>262</v>
      </c>
      <c r="I81" s="16" t="s">
        <v>85</v>
      </c>
      <c r="J81" s="11"/>
    </row>
    <row r="82" customFormat="false" ht="15" hidden="false" customHeight="true" outlineLevel="0" collapsed="false">
      <c r="A82" s="9" t="s">
        <v>306</v>
      </c>
      <c r="B82" s="10" t="n">
        <v>150</v>
      </c>
      <c r="C82" s="9" t="s">
        <v>310</v>
      </c>
      <c r="D82" s="11" t="s">
        <v>311</v>
      </c>
      <c r="E82" s="10" t="s">
        <v>40</v>
      </c>
      <c r="F82" s="12" t="s">
        <v>78</v>
      </c>
      <c r="G82" s="9" t="s">
        <v>312</v>
      </c>
      <c r="H82" s="11" t="s">
        <v>94</v>
      </c>
      <c r="I82" s="13" t="s">
        <v>281</v>
      </c>
      <c r="J82" s="11"/>
    </row>
    <row r="83" customFormat="false" ht="15" hidden="false" customHeight="true" outlineLevel="0" collapsed="false">
      <c r="A83" s="9" t="s">
        <v>306</v>
      </c>
      <c r="B83" s="10" t="n">
        <v>200</v>
      </c>
      <c r="C83" s="9" t="s">
        <v>313</v>
      </c>
      <c r="D83" s="11" t="s">
        <v>314</v>
      </c>
      <c r="E83" s="10" t="s">
        <v>77</v>
      </c>
      <c r="F83" s="12" t="s">
        <v>78</v>
      </c>
      <c r="G83" s="9" t="s">
        <v>315</v>
      </c>
      <c r="H83" s="9" t="s">
        <v>262</v>
      </c>
      <c r="I83" s="16" t="s">
        <v>85</v>
      </c>
      <c r="J83" s="11"/>
    </row>
    <row r="84" customFormat="false" ht="15" hidden="false" customHeight="true" outlineLevel="0" collapsed="false">
      <c r="A84" s="9" t="s">
        <v>306</v>
      </c>
      <c r="B84" s="10" t="n">
        <v>250</v>
      </c>
      <c r="C84" s="14" t="s">
        <v>316</v>
      </c>
      <c r="D84" s="11" t="s">
        <v>70</v>
      </c>
      <c r="E84" s="10" t="s">
        <v>77</v>
      </c>
      <c r="F84" s="12" t="s">
        <v>78</v>
      </c>
      <c r="G84" s="9" t="s">
        <v>317</v>
      </c>
      <c r="H84" s="9" t="s">
        <v>122</v>
      </c>
      <c r="I84" s="15" t="s">
        <v>74</v>
      </c>
      <c r="J84" s="11"/>
    </row>
    <row r="85" customFormat="false" ht="15" hidden="false" customHeight="true" outlineLevel="0" collapsed="false">
      <c r="A85" s="9" t="s">
        <v>306</v>
      </c>
      <c r="B85" s="10" t="n">
        <v>280</v>
      </c>
      <c r="C85" s="14" t="s">
        <v>318</v>
      </c>
      <c r="D85" s="11" t="s">
        <v>70</v>
      </c>
      <c r="E85" s="10" t="s">
        <v>100</v>
      </c>
      <c r="F85" s="12" t="s">
        <v>78</v>
      </c>
      <c r="G85" s="9" t="s">
        <v>319</v>
      </c>
      <c r="H85" s="9" t="s">
        <v>73</v>
      </c>
      <c r="I85" s="15" t="s">
        <v>74</v>
      </c>
      <c r="J85" s="11"/>
    </row>
    <row r="86" customFormat="false" ht="15" hidden="false" customHeight="true" outlineLevel="0" collapsed="false">
      <c r="A86" s="9" t="s">
        <v>306</v>
      </c>
      <c r="B86" s="10" t="n">
        <v>300</v>
      </c>
      <c r="C86" s="9" t="s">
        <v>320</v>
      </c>
      <c r="D86" s="11" t="s">
        <v>321</v>
      </c>
      <c r="E86" s="10" t="s">
        <v>40</v>
      </c>
      <c r="F86" s="12" t="s">
        <v>78</v>
      </c>
      <c r="G86" s="9" t="s">
        <v>322</v>
      </c>
      <c r="H86" s="11" t="s">
        <v>149</v>
      </c>
      <c r="I86" s="19" t="s">
        <v>150</v>
      </c>
      <c r="J86" s="9" t="s">
        <v>141</v>
      </c>
    </row>
    <row r="87" customFormat="false" ht="15" hidden="false" customHeight="true" outlineLevel="0" collapsed="false">
      <c r="A87" s="9" t="s">
        <v>306</v>
      </c>
      <c r="B87" s="10" t="n">
        <v>320</v>
      </c>
      <c r="C87" s="14" t="s">
        <v>323</v>
      </c>
      <c r="D87" s="11" t="s">
        <v>70</v>
      </c>
      <c r="E87" s="10" t="s">
        <v>77</v>
      </c>
      <c r="F87" s="12" t="s">
        <v>78</v>
      </c>
      <c r="G87" s="9" t="s">
        <v>324</v>
      </c>
      <c r="H87" s="9" t="s">
        <v>122</v>
      </c>
      <c r="I87" s="15" t="s">
        <v>74</v>
      </c>
      <c r="J87" s="11"/>
    </row>
    <row r="88" customFormat="false" ht="15" hidden="false" customHeight="true" outlineLevel="0" collapsed="false">
      <c r="A88" s="9" t="s">
        <v>306</v>
      </c>
      <c r="B88" s="10" t="n">
        <v>350</v>
      </c>
      <c r="C88" s="14" t="s">
        <v>325</v>
      </c>
      <c r="D88" s="11" t="s">
        <v>70</v>
      </c>
      <c r="E88" s="10" t="s">
        <v>40</v>
      </c>
      <c r="F88" s="12" t="s">
        <v>78</v>
      </c>
      <c r="G88" s="9" t="s">
        <v>326</v>
      </c>
      <c r="H88" s="9" t="s">
        <v>122</v>
      </c>
      <c r="I88" s="15" t="s">
        <v>74</v>
      </c>
      <c r="J88" s="11"/>
    </row>
    <row r="89" customFormat="false" ht="15" hidden="false" customHeight="true" outlineLevel="0" collapsed="false">
      <c r="A89" s="9" t="s">
        <v>306</v>
      </c>
      <c r="B89" s="10" t="n">
        <v>380</v>
      </c>
      <c r="C89" s="14" t="s">
        <v>327</v>
      </c>
      <c r="D89" s="11" t="s">
        <v>70</v>
      </c>
      <c r="E89" s="10" t="s">
        <v>40</v>
      </c>
      <c r="F89" s="12" t="s">
        <v>171</v>
      </c>
      <c r="G89" s="9" t="s">
        <v>328</v>
      </c>
      <c r="H89" s="9" t="s">
        <v>73</v>
      </c>
      <c r="I89" s="15" t="s">
        <v>74</v>
      </c>
      <c r="J89" s="11"/>
    </row>
    <row r="90" customFormat="false" ht="15" hidden="false" customHeight="true" outlineLevel="0" collapsed="false">
      <c r="A90" s="9" t="s">
        <v>306</v>
      </c>
      <c r="B90" s="10" t="n">
        <v>400</v>
      </c>
      <c r="C90" s="14" t="s">
        <v>329</v>
      </c>
      <c r="D90" s="11" t="s">
        <v>70</v>
      </c>
      <c r="E90" s="10" t="s">
        <v>100</v>
      </c>
      <c r="F90" s="12" t="s">
        <v>171</v>
      </c>
      <c r="G90" s="9" t="s">
        <v>330</v>
      </c>
      <c r="H90" s="9" t="s">
        <v>122</v>
      </c>
      <c r="I90" s="15" t="s">
        <v>74</v>
      </c>
      <c r="J90" s="11"/>
    </row>
    <row r="91" customFormat="false" ht="15" hidden="false" customHeight="true" outlineLevel="0" collapsed="false">
      <c r="A91" s="9" t="s">
        <v>306</v>
      </c>
      <c r="B91" s="10" t="n">
        <v>450</v>
      </c>
      <c r="C91" s="14" t="s">
        <v>331</v>
      </c>
      <c r="D91" s="11" t="s">
        <v>70</v>
      </c>
      <c r="E91" s="10" t="s">
        <v>109</v>
      </c>
      <c r="F91" s="12" t="s">
        <v>78</v>
      </c>
      <c r="G91" s="9" t="s">
        <v>332</v>
      </c>
      <c r="H91" s="9" t="s">
        <v>122</v>
      </c>
      <c r="I91" s="15" t="s">
        <v>74</v>
      </c>
      <c r="J91" s="11"/>
    </row>
    <row r="92" customFormat="false" ht="15" hidden="false" customHeight="true" outlineLevel="0" collapsed="false">
      <c r="A92" s="9" t="s">
        <v>306</v>
      </c>
      <c r="B92" s="10" t="n">
        <v>480</v>
      </c>
      <c r="C92" s="14" t="s">
        <v>333</v>
      </c>
      <c r="D92" s="11" t="s">
        <v>70</v>
      </c>
      <c r="E92" s="10" t="s">
        <v>77</v>
      </c>
      <c r="F92" s="12" t="s">
        <v>71</v>
      </c>
      <c r="G92" s="9" t="s">
        <v>334</v>
      </c>
      <c r="H92" s="9" t="s">
        <v>73</v>
      </c>
      <c r="I92" s="15" t="s">
        <v>74</v>
      </c>
      <c r="J92" s="11"/>
    </row>
    <row r="93" customFormat="false" ht="15" hidden="false" customHeight="true" outlineLevel="0" collapsed="false">
      <c r="A93" s="9" t="s">
        <v>306</v>
      </c>
      <c r="B93" s="10" t="n">
        <v>500</v>
      </c>
      <c r="C93" s="9" t="s">
        <v>335</v>
      </c>
      <c r="D93" s="11" t="s">
        <v>336</v>
      </c>
      <c r="E93" s="10" t="s">
        <v>40</v>
      </c>
      <c r="F93" s="12" t="s">
        <v>78</v>
      </c>
      <c r="G93" s="9" t="s">
        <v>337</v>
      </c>
      <c r="H93" s="11" t="s">
        <v>338</v>
      </c>
      <c r="I93" s="13" t="s">
        <v>58</v>
      </c>
      <c r="J93" s="11"/>
    </row>
    <row r="94" customFormat="false" ht="15" hidden="false" customHeight="true" outlineLevel="0" collapsed="false">
      <c r="A94" s="9" t="s">
        <v>306</v>
      </c>
      <c r="B94" s="10" t="n">
        <v>550</v>
      </c>
      <c r="C94" s="14" t="s">
        <v>339</v>
      </c>
      <c r="D94" s="11" t="s">
        <v>70</v>
      </c>
      <c r="E94" s="10" t="s">
        <v>109</v>
      </c>
      <c r="F94" s="12" t="s">
        <v>78</v>
      </c>
      <c r="G94" s="9" t="s">
        <v>340</v>
      </c>
      <c r="H94" s="9" t="s">
        <v>73</v>
      </c>
      <c r="I94" s="15" t="s">
        <v>74</v>
      </c>
      <c r="J94" s="11"/>
    </row>
    <row r="95" customFormat="false" ht="15" hidden="false" customHeight="true" outlineLevel="0" collapsed="false">
      <c r="A95" s="9" t="s">
        <v>306</v>
      </c>
      <c r="B95" s="10" t="n">
        <v>600</v>
      </c>
      <c r="C95" s="14" t="s">
        <v>341</v>
      </c>
      <c r="D95" s="11" t="s">
        <v>70</v>
      </c>
      <c r="E95" s="10" t="s">
        <v>120</v>
      </c>
      <c r="F95" s="12" t="s">
        <v>171</v>
      </c>
      <c r="G95" s="9" t="s">
        <v>342</v>
      </c>
      <c r="H95" s="9" t="s">
        <v>122</v>
      </c>
      <c r="I95" s="15" t="s">
        <v>74</v>
      </c>
      <c r="J95" s="11"/>
    </row>
    <row r="96" customFormat="false" ht="15" hidden="false" customHeight="true" outlineLevel="0" collapsed="false">
      <c r="A96" s="9" t="s">
        <v>306</v>
      </c>
      <c r="B96" s="10" t="n">
        <v>700</v>
      </c>
      <c r="C96" s="14" t="s">
        <v>343</v>
      </c>
      <c r="D96" s="11" t="s">
        <v>70</v>
      </c>
      <c r="E96" s="10" t="s">
        <v>128</v>
      </c>
      <c r="F96" s="12" t="s">
        <v>78</v>
      </c>
      <c r="G96" s="9" t="s">
        <v>344</v>
      </c>
      <c r="H96" s="9" t="s">
        <v>122</v>
      </c>
      <c r="I96" s="15" t="s">
        <v>74</v>
      </c>
      <c r="J96" s="11"/>
    </row>
    <row r="97" customFormat="false" ht="15" hidden="false" customHeight="true" outlineLevel="0" collapsed="false">
      <c r="A97" s="9" t="s">
        <v>306</v>
      </c>
      <c r="B97" s="10" t="n">
        <v>800</v>
      </c>
      <c r="C97" s="14" t="s">
        <v>345</v>
      </c>
      <c r="D97" s="11" t="s">
        <v>70</v>
      </c>
      <c r="E97" s="10" t="s">
        <v>40</v>
      </c>
      <c r="F97" s="12" t="s">
        <v>78</v>
      </c>
      <c r="G97" s="9" t="s">
        <v>346</v>
      </c>
      <c r="H97" s="9" t="s">
        <v>73</v>
      </c>
      <c r="I97" s="15" t="s">
        <v>74</v>
      </c>
      <c r="J97" s="11"/>
    </row>
    <row r="98" customFormat="false" ht="15" hidden="false" customHeight="true" outlineLevel="0" collapsed="false">
      <c r="A98" s="9" t="s">
        <v>306</v>
      </c>
      <c r="B98" s="10" t="n">
        <v>850</v>
      </c>
      <c r="C98" s="14" t="s">
        <v>347</v>
      </c>
      <c r="D98" s="11" t="s">
        <v>70</v>
      </c>
      <c r="E98" s="10" t="s">
        <v>133</v>
      </c>
      <c r="F98" s="12" t="s">
        <v>78</v>
      </c>
      <c r="G98" s="11" t="s">
        <v>348</v>
      </c>
      <c r="H98" s="9" t="s">
        <v>122</v>
      </c>
      <c r="I98" s="15" t="s">
        <v>74</v>
      </c>
      <c r="J98" s="9" t="s">
        <v>125</v>
      </c>
    </row>
    <row r="99" customFormat="false" ht="15" hidden="false" customHeight="true" outlineLevel="0" collapsed="false">
      <c r="A99" s="9" t="s">
        <v>306</v>
      </c>
      <c r="B99" s="10" t="n">
        <v>950</v>
      </c>
      <c r="C99" s="14" t="s">
        <v>349</v>
      </c>
      <c r="D99" s="11" t="s">
        <v>70</v>
      </c>
      <c r="E99" s="10" t="s">
        <v>120</v>
      </c>
      <c r="F99" s="12" t="s">
        <v>78</v>
      </c>
      <c r="G99" s="9" t="s">
        <v>350</v>
      </c>
      <c r="H99" s="9" t="s">
        <v>122</v>
      </c>
      <c r="I99" s="15" t="s">
        <v>74</v>
      </c>
      <c r="J99" s="11"/>
    </row>
    <row r="100" customFormat="false" ht="15" hidden="false" customHeight="true" outlineLevel="0" collapsed="false">
      <c r="A100" s="9" t="s">
        <v>351</v>
      </c>
      <c r="B100" s="10" t="n">
        <v>100</v>
      </c>
      <c r="C100" s="9" t="s">
        <v>352</v>
      </c>
      <c r="D100" s="11" t="s">
        <v>353</v>
      </c>
      <c r="E100" s="10" t="s">
        <v>77</v>
      </c>
      <c r="F100" s="12" t="s">
        <v>78</v>
      </c>
      <c r="G100" s="9" t="s">
        <v>315</v>
      </c>
      <c r="H100" s="9" t="s">
        <v>84</v>
      </c>
      <c r="I100" s="16" t="s">
        <v>85</v>
      </c>
      <c r="J100" s="11"/>
    </row>
    <row r="101" customFormat="false" ht="15" hidden="false" customHeight="true" outlineLevel="0" collapsed="false">
      <c r="A101" s="9" t="s">
        <v>354</v>
      </c>
      <c r="B101" s="10" t="n">
        <v>30</v>
      </c>
      <c r="C101" s="9" t="s">
        <v>355</v>
      </c>
      <c r="D101" s="11" t="s">
        <v>356</v>
      </c>
      <c r="E101" s="10" t="s">
        <v>40</v>
      </c>
      <c r="F101" s="12" t="s">
        <v>78</v>
      </c>
      <c r="G101" s="9" t="s">
        <v>357</v>
      </c>
      <c r="H101" s="11" t="s">
        <v>63</v>
      </c>
      <c r="I101" s="13" t="s">
        <v>44</v>
      </c>
      <c r="J101" s="11"/>
    </row>
    <row r="102" customFormat="false" ht="15" hidden="false" customHeight="true" outlineLevel="0" collapsed="false">
      <c r="A102" s="9" t="s">
        <v>354</v>
      </c>
      <c r="B102" s="10" t="n">
        <v>100</v>
      </c>
      <c r="C102" s="14" t="s">
        <v>358</v>
      </c>
      <c r="D102" s="11" t="s">
        <v>70</v>
      </c>
      <c r="E102" s="10" t="s">
        <v>40</v>
      </c>
      <c r="F102" s="12" t="s">
        <v>78</v>
      </c>
      <c r="G102" s="9" t="s">
        <v>359</v>
      </c>
      <c r="H102" s="9" t="s">
        <v>122</v>
      </c>
      <c r="I102" s="15" t="s">
        <v>74</v>
      </c>
      <c r="J102" s="11"/>
    </row>
    <row r="103" customFormat="false" ht="15" hidden="false" customHeight="true" outlineLevel="0" collapsed="false">
      <c r="A103" s="9" t="s">
        <v>354</v>
      </c>
      <c r="B103" s="10" t="n">
        <v>150</v>
      </c>
      <c r="C103" s="14" t="s">
        <v>360</v>
      </c>
      <c r="D103" s="11" t="s">
        <v>70</v>
      </c>
      <c r="E103" s="10" t="s">
        <v>40</v>
      </c>
      <c r="F103" s="12" t="s">
        <v>78</v>
      </c>
      <c r="G103" s="9" t="s">
        <v>361</v>
      </c>
      <c r="H103" s="9" t="s">
        <v>122</v>
      </c>
      <c r="I103" s="15" t="s">
        <v>74</v>
      </c>
      <c r="J103" s="11"/>
    </row>
    <row r="104" customFormat="false" ht="15" hidden="false" customHeight="true" outlineLevel="0" collapsed="false">
      <c r="A104" s="9" t="s">
        <v>354</v>
      </c>
      <c r="B104" s="10" t="n">
        <v>200</v>
      </c>
      <c r="C104" s="14" t="s">
        <v>362</v>
      </c>
      <c r="D104" s="11" t="s">
        <v>70</v>
      </c>
      <c r="E104" s="10" t="s">
        <v>40</v>
      </c>
      <c r="F104" s="12" t="s">
        <v>71</v>
      </c>
      <c r="G104" s="9" t="s">
        <v>363</v>
      </c>
      <c r="H104" s="9" t="s">
        <v>73</v>
      </c>
      <c r="I104" s="15" t="s">
        <v>74</v>
      </c>
      <c r="J104" s="11"/>
    </row>
    <row r="105" customFormat="false" ht="15" hidden="false" customHeight="true" outlineLevel="0" collapsed="false">
      <c r="A105" s="9" t="s">
        <v>354</v>
      </c>
      <c r="B105" s="10" t="n">
        <v>250</v>
      </c>
      <c r="C105" s="14" t="s">
        <v>364</v>
      </c>
      <c r="D105" s="11" t="s">
        <v>70</v>
      </c>
      <c r="E105" s="10" t="s">
        <v>40</v>
      </c>
      <c r="F105" s="12" t="s">
        <v>88</v>
      </c>
      <c r="G105" s="9" t="s">
        <v>365</v>
      </c>
      <c r="H105" s="9" t="s">
        <v>73</v>
      </c>
      <c r="I105" s="15" t="s">
        <v>74</v>
      </c>
      <c r="J105" s="11"/>
    </row>
    <row r="106" customFormat="false" ht="15" hidden="false" customHeight="true" outlineLevel="0" collapsed="false">
      <c r="A106" s="9" t="s">
        <v>354</v>
      </c>
      <c r="B106" s="10" t="n">
        <v>300</v>
      </c>
      <c r="C106" s="14" t="s">
        <v>366</v>
      </c>
      <c r="D106" s="11" t="s">
        <v>70</v>
      </c>
      <c r="E106" s="10" t="s">
        <v>40</v>
      </c>
      <c r="F106" s="12" t="s">
        <v>88</v>
      </c>
      <c r="G106" s="9" t="s">
        <v>367</v>
      </c>
      <c r="H106" s="9" t="s">
        <v>73</v>
      </c>
      <c r="I106" s="15" t="s">
        <v>74</v>
      </c>
      <c r="J106" s="11"/>
    </row>
    <row r="107" customFormat="false" ht="15" hidden="false" customHeight="true" outlineLevel="0" collapsed="false">
      <c r="A107" s="9" t="s">
        <v>354</v>
      </c>
      <c r="B107" s="10" t="n">
        <v>350</v>
      </c>
      <c r="C107" s="14" t="s">
        <v>368</v>
      </c>
      <c r="D107" s="11" t="s">
        <v>70</v>
      </c>
      <c r="E107" s="10" t="s">
        <v>40</v>
      </c>
      <c r="F107" s="12" t="s">
        <v>369</v>
      </c>
      <c r="G107" s="9" t="s">
        <v>370</v>
      </c>
      <c r="H107" s="9" t="s">
        <v>73</v>
      </c>
      <c r="I107" s="15" t="s">
        <v>74</v>
      </c>
      <c r="J107" s="11"/>
    </row>
    <row r="108" customFormat="false" ht="15" hidden="false" customHeight="true" outlineLevel="0" collapsed="false">
      <c r="A108" s="9" t="s">
        <v>354</v>
      </c>
      <c r="B108" s="10" t="n">
        <v>400</v>
      </c>
      <c r="C108" s="14" t="s">
        <v>371</v>
      </c>
      <c r="D108" s="11" t="s">
        <v>70</v>
      </c>
      <c r="E108" s="10" t="s">
        <v>100</v>
      </c>
      <c r="F108" s="12" t="s">
        <v>78</v>
      </c>
      <c r="G108" s="9" t="s">
        <v>372</v>
      </c>
      <c r="H108" s="9" t="s">
        <v>122</v>
      </c>
      <c r="I108" s="15" t="s">
        <v>74</v>
      </c>
      <c r="J108" s="11"/>
    </row>
    <row r="109" customFormat="false" ht="15" hidden="false" customHeight="true" outlineLevel="0" collapsed="false">
      <c r="A109" s="9" t="s">
        <v>354</v>
      </c>
      <c r="B109" s="10" t="n">
        <v>450</v>
      </c>
      <c r="C109" s="14" t="s">
        <v>373</v>
      </c>
      <c r="D109" s="11" t="s">
        <v>70</v>
      </c>
      <c r="E109" s="10" t="s">
        <v>77</v>
      </c>
      <c r="F109" s="12" t="s">
        <v>78</v>
      </c>
      <c r="G109" s="9" t="s">
        <v>374</v>
      </c>
      <c r="H109" s="9" t="s">
        <v>73</v>
      </c>
      <c r="I109" s="15" t="s">
        <v>74</v>
      </c>
      <c r="J109" s="11"/>
    </row>
    <row r="110" customFormat="false" ht="15" hidden="false" customHeight="true" outlineLevel="0" collapsed="false">
      <c r="A110" s="9" t="s">
        <v>354</v>
      </c>
      <c r="B110" s="10" t="n">
        <v>500</v>
      </c>
      <c r="C110" s="14" t="s">
        <v>375</v>
      </c>
      <c r="D110" s="11" t="s">
        <v>70</v>
      </c>
      <c r="E110" s="10" t="s">
        <v>100</v>
      </c>
      <c r="F110" s="12" t="s">
        <v>78</v>
      </c>
      <c r="G110" s="9" t="s">
        <v>376</v>
      </c>
      <c r="H110" s="9" t="s">
        <v>122</v>
      </c>
      <c r="I110" s="15" t="s">
        <v>74</v>
      </c>
      <c r="J110" s="11"/>
    </row>
    <row r="111" customFormat="false" ht="15" hidden="false" customHeight="true" outlineLevel="0" collapsed="false">
      <c r="A111" s="9" t="s">
        <v>354</v>
      </c>
      <c r="B111" s="10" t="n">
        <v>550</v>
      </c>
      <c r="C111" s="14" t="s">
        <v>377</v>
      </c>
      <c r="D111" s="11" t="s">
        <v>70</v>
      </c>
      <c r="E111" s="10" t="s">
        <v>40</v>
      </c>
      <c r="F111" s="12" t="s">
        <v>88</v>
      </c>
      <c r="G111" s="9" t="s">
        <v>378</v>
      </c>
      <c r="H111" s="9" t="s">
        <v>73</v>
      </c>
      <c r="I111" s="15" t="s">
        <v>74</v>
      </c>
      <c r="J111" s="11"/>
    </row>
    <row r="112" customFormat="false" ht="15" hidden="false" customHeight="true" outlineLevel="0" collapsed="false">
      <c r="A112" s="9" t="s">
        <v>354</v>
      </c>
      <c r="B112" s="10" t="n">
        <v>600</v>
      </c>
      <c r="C112" s="14" t="s">
        <v>379</v>
      </c>
      <c r="D112" s="11" t="s">
        <v>70</v>
      </c>
      <c r="E112" s="10" t="s">
        <v>100</v>
      </c>
      <c r="F112" s="12" t="s">
        <v>78</v>
      </c>
      <c r="G112" s="9" t="s">
        <v>380</v>
      </c>
      <c r="H112" s="9" t="s">
        <v>122</v>
      </c>
      <c r="I112" s="15" t="s">
        <v>74</v>
      </c>
      <c r="J112" s="11"/>
    </row>
    <row r="113" customFormat="false" ht="15" hidden="false" customHeight="true" outlineLevel="0" collapsed="false">
      <c r="A113" s="9" t="s">
        <v>354</v>
      </c>
      <c r="B113" s="10" t="n">
        <v>650</v>
      </c>
      <c r="C113" s="14" t="s">
        <v>381</v>
      </c>
      <c r="D113" s="11" t="s">
        <v>70</v>
      </c>
      <c r="E113" s="10" t="s">
        <v>100</v>
      </c>
      <c r="F113" s="12" t="s">
        <v>78</v>
      </c>
      <c r="G113" s="9" t="s">
        <v>382</v>
      </c>
      <c r="H113" s="9" t="s">
        <v>122</v>
      </c>
      <c r="I113" s="15" t="s">
        <v>74</v>
      </c>
      <c r="J113" s="11"/>
    </row>
    <row r="114" customFormat="false" ht="15" hidden="false" customHeight="true" outlineLevel="0" collapsed="false">
      <c r="A114" s="9" t="s">
        <v>354</v>
      </c>
      <c r="B114" s="10" t="n">
        <v>700</v>
      </c>
      <c r="C114" s="14" t="s">
        <v>383</v>
      </c>
      <c r="D114" s="11" t="s">
        <v>70</v>
      </c>
      <c r="E114" s="10" t="s">
        <v>100</v>
      </c>
      <c r="F114" s="12" t="s">
        <v>78</v>
      </c>
      <c r="G114" s="9" t="s">
        <v>384</v>
      </c>
      <c r="H114" s="9" t="s">
        <v>122</v>
      </c>
      <c r="I114" s="15" t="s">
        <v>74</v>
      </c>
      <c r="J114" s="11"/>
    </row>
    <row r="115" customFormat="false" ht="15" hidden="false" customHeight="true" outlineLevel="0" collapsed="false">
      <c r="A115" s="9" t="s">
        <v>354</v>
      </c>
      <c r="B115" s="10" t="n">
        <v>750</v>
      </c>
      <c r="C115" s="14" t="s">
        <v>385</v>
      </c>
      <c r="D115" s="11" t="s">
        <v>70</v>
      </c>
      <c r="E115" s="10" t="s">
        <v>128</v>
      </c>
      <c r="F115" s="12" t="s">
        <v>78</v>
      </c>
      <c r="G115" s="9" t="s">
        <v>386</v>
      </c>
      <c r="H115" s="9" t="s">
        <v>122</v>
      </c>
      <c r="I115" s="15" t="s">
        <v>74</v>
      </c>
      <c r="J115" s="11"/>
    </row>
    <row r="116" customFormat="false" ht="15" hidden="false" customHeight="true" outlineLevel="0" collapsed="false">
      <c r="A116" s="9" t="s">
        <v>354</v>
      </c>
      <c r="B116" s="10" t="n">
        <v>800</v>
      </c>
      <c r="C116" s="14" t="s">
        <v>387</v>
      </c>
      <c r="D116" s="11" t="s">
        <v>70</v>
      </c>
      <c r="E116" s="10" t="s">
        <v>70</v>
      </c>
      <c r="F116" s="10" t="s">
        <v>70</v>
      </c>
      <c r="G116" s="9" t="s">
        <v>388</v>
      </c>
      <c r="H116" s="9" t="s">
        <v>73</v>
      </c>
      <c r="I116" s="15" t="s">
        <v>74</v>
      </c>
      <c r="J116" s="11"/>
    </row>
    <row r="117" customFormat="false" ht="15" hidden="false" customHeight="true" outlineLevel="0" collapsed="false">
      <c r="A117" s="9" t="s">
        <v>354</v>
      </c>
      <c r="B117" s="10" t="n">
        <v>850</v>
      </c>
      <c r="C117" s="14" t="s">
        <v>389</v>
      </c>
      <c r="D117" s="11" t="s">
        <v>70</v>
      </c>
      <c r="E117" s="10" t="s">
        <v>70</v>
      </c>
      <c r="F117" s="10" t="s">
        <v>70</v>
      </c>
      <c r="G117" s="9" t="s">
        <v>388</v>
      </c>
      <c r="H117" s="9" t="s">
        <v>73</v>
      </c>
      <c r="I117" s="15" t="s">
        <v>74</v>
      </c>
      <c r="J117" s="11"/>
    </row>
    <row r="118" customFormat="false" ht="15" hidden="false" customHeight="true" outlineLevel="0" collapsed="false">
      <c r="A118" s="9" t="s">
        <v>354</v>
      </c>
      <c r="B118" s="10" t="n">
        <v>900</v>
      </c>
      <c r="C118" s="14" t="s">
        <v>390</v>
      </c>
      <c r="D118" s="11" t="s">
        <v>70</v>
      </c>
      <c r="E118" s="10" t="s">
        <v>133</v>
      </c>
      <c r="F118" s="12" t="s">
        <v>78</v>
      </c>
      <c r="G118" s="11" t="s">
        <v>391</v>
      </c>
      <c r="H118" s="9" t="s">
        <v>122</v>
      </c>
      <c r="I118" s="15" t="s">
        <v>74</v>
      </c>
      <c r="J118" s="9" t="s">
        <v>125</v>
      </c>
    </row>
    <row r="119" customFormat="false" ht="15" hidden="false" customHeight="true" outlineLevel="0" collapsed="false">
      <c r="A119" s="9" t="s">
        <v>354</v>
      </c>
      <c r="B119" s="10" t="n">
        <v>950</v>
      </c>
      <c r="C119" s="14" t="s">
        <v>392</v>
      </c>
      <c r="D119" s="11" t="s">
        <v>70</v>
      </c>
      <c r="E119" s="10" t="s">
        <v>109</v>
      </c>
      <c r="F119" s="12" t="s">
        <v>78</v>
      </c>
      <c r="G119" s="9" t="s">
        <v>393</v>
      </c>
      <c r="H119" s="9" t="s">
        <v>122</v>
      </c>
      <c r="I119" s="15" t="s">
        <v>74</v>
      </c>
      <c r="J119" s="11"/>
    </row>
    <row r="120" customFormat="false" ht="15" hidden="false" customHeight="true" outlineLevel="0" collapsed="false">
      <c r="A120" s="9" t="s">
        <v>394</v>
      </c>
      <c r="B120" s="10" t="n">
        <v>20</v>
      </c>
      <c r="C120" s="14" t="s">
        <v>395</v>
      </c>
      <c r="D120" s="11" t="s">
        <v>70</v>
      </c>
      <c r="E120" s="10" t="s">
        <v>40</v>
      </c>
      <c r="F120" s="12" t="s">
        <v>171</v>
      </c>
      <c r="G120" s="9" t="s">
        <v>396</v>
      </c>
      <c r="H120" s="9" t="s">
        <v>73</v>
      </c>
      <c r="I120" s="15" t="s">
        <v>74</v>
      </c>
      <c r="J120" s="11"/>
    </row>
    <row r="121" customFormat="false" ht="15" hidden="false" customHeight="true" outlineLevel="0" collapsed="false">
      <c r="A121" s="9" t="s">
        <v>394</v>
      </c>
      <c r="B121" s="10" t="n">
        <v>50</v>
      </c>
      <c r="C121" s="14" t="s">
        <v>397</v>
      </c>
      <c r="D121" s="11" t="s">
        <v>70</v>
      </c>
      <c r="E121" s="10" t="s">
        <v>40</v>
      </c>
      <c r="F121" s="12" t="s">
        <v>171</v>
      </c>
      <c r="G121" s="9" t="s">
        <v>398</v>
      </c>
      <c r="H121" s="9" t="s">
        <v>122</v>
      </c>
      <c r="I121" s="15" t="s">
        <v>74</v>
      </c>
      <c r="J121" s="11"/>
    </row>
    <row r="122" customFormat="false" ht="15" hidden="false" customHeight="true" outlineLevel="0" collapsed="false">
      <c r="A122" s="9" t="s">
        <v>394</v>
      </c>
      <c r="B122" s="10" t="n">
        <v>100</v>
      </c>
      <c r="C122" s="14" t="s">
        <v>399</v>
      </c>
      <c r="D122" s="11" t="s">
        <v>70</v>
      </c>
      <c r="E122" s="10" t="s">
        <v>40</v>
      </c>
      <c r="F122" s="12" t="s">
        <v>171</v>
      </c>
      <c r="G122" s="9" t="s">
        <v>400</v>
      </c>
      <c r="H122" s="9" t="s">
        <v>122</v>
      </c>
      <c r="I122" s="15" t="s">
        <v>74</v>
      </c>
      <c r="J122" s="11"/>
    </row>
    <row r="123" customFormat="false" ht="15" hidden="false" customHeight="true" outlineLevel="0" collapsed="false">
      <c r="A123" s="9" t="s">
        <v>394</v>
      </c>
      <c r="B123" s="10" t="n">
        <v>150</v>
      </c>
      <c r="C123" s="14" t="s">
        <v>401</v>
      </c>
      <c r="D123" s="11" t="s">
        <v>70</v>
      </c>
      <c r="E123" s="10" t="s">
        <v>40</v>
      </c>
      <c r="F123" s="12" t="s">
        <v>171</v>
      </c>
      <c r="G123" s="9" t="s">
        <v>402</v>
      </c>
      <c r="H123" s="9" t="s">
        <v>73</v>
      </c>
      <c r="I123" s="15" t="s">
        <v>74</v>
      </c>
      <c r="J123" s="11"/>
    </row>
    <row r="124" customFormat="false" ht="15" hidden="false" customHeight="true" outlineLevel="0" collapsed="false">
      <c r="A124" s="9" t="s">
        <v>394</v>
      </c>
      <c r="B124" s="10" t="n">
        <v>200</v>
      </c>
      <c r="C124" s="14" t="s">
        <v>403</v>
      </c>
      <c r="D124" s="11" t="s">
        <v>70</v>
      </c>
      <c r="E124" s="10" t="s">
        <v>77</v>
      </c>
      <c r="F124" s="12" t="s">
        <v>171</v>
      </c>
      <c r="G124" s="9" t="s">
        <v>404</v>
      </c>
      <c r="H124" s="9" t="s">
        <v>122</v>
      </c>
      <c r="I124" s="15" t="s">
        <v>74</v>
      </c>
      <c r="J124" s="11"/>
    </row>
    <row r="125" customFormat="false" ht="15" hidden="false" customHeight="true" outlineLevel="0" collapsed="false">
      <c r="A125" s="9" t="s">
        <v>394</v>
      </c>
      <c r="B125" s="10" t="n">
        <v>250</v>
      </c>
      <c r="C125" s="14" t="s">
        <v>405</v>
      </c>
      <c r="D125" s="11" t="s">
        <v>70</v>
      </c>
      <c r="E125" s="10" t="s">
        <v>40</v>
      </c>
      <c r="F125" s="12" t="s">
        <v>171</v>
      </c>
      <c r="G125" s="9" t="s">
        <v>406</v>
      </c>
      <c r="H125" s="9" t="s">
        <v>73</v>
      </c>
      <c r="I125" s="15" t="s">
        <v>74</v>
      </c>
      <c r="J125" s="11"/>
    </row>
    <row r="126" customFormat="false" ht="15" hidden="false" customHeight="true" outlineLevel="0" collapsed="false">
      <c r="A126" s="9" t="s">
        <v>394</v>
      </c>
      <c r="B126" s="10" t="n">
        <v>300</v>
      </c>
      <c r="C126" s="14" t="s">
        <v>407</v>
      </c>
      <c r="D126" s="11" t="s">
        <v>70</v>
      </c>
      <c r="E126" s="10" t="s">
        <v>77</v>
      </c>
      <c r="F126" s="12" t="s">
        <v>171</v>
      </c>
      <c r="G126" s="9" t="s">
        <v>408</v>
      </c>
      <c r="H126" s="9" t="s">
        <v>73</v>
      </c>
      <c r="I126" s="15" t="s">
        <v>74</v>
      </c>
      <c r="J126" s="11"/>
    </row>
    <row r="127" customFormat="false" ht="15" hidden="false" customHeight="true" outlineLevel="0" collapsed="false">
      <c r="A127" s="9" t="s">
        <v>394</v>
      </c>
      <c r="B127" s="10" t="n">
        <v>350</v>
      </c>
      <c r="C127" s="14" t="s">
        <v>409</v>
      </c>
      <c r="D127" s="11" t="s">
        <v>70</v>
      </c>
      <c r="E127" s="10" t="s">
        <v>100</v>
      </c>
      <c r="F127" s="12" t="s">
        <v>171</v>
      </c>
      <c r="G127" s="9" t="s">
        <v>410</v>
      </c>
      <c r="H127" s="9" t="s">
        <v>73</v>
      </c>
      <c r="I127" s="15" t="s">
        <v>74</v>
      </c>
      <c r="J127" s="11"/>
    </row>
    <row r="128" customFormat="false" ht="15" hidden="false" customHeight="true" outlineLevel="0" collapsed="false">
      <c r="A128" s="9" t="s">
        <v>394</v>
      </c>
      <c r="B128" s="10" t="n">
        <v>400</v>
      </c>
      <c r="C128" s="14" t="s">
        <v>411</v>
      </c>
      <c r="D128" s="11" t="s">
        <v>70</v>
      </c>
      <c r="E128" s="10" t="s">
        <v>100</v>
      </c>
      <c r="F128" s="12" t="s">
        <v>171</v>
      </c>
      <c r="G128" s="9" t="s">
        <v>412</v>
      </c>
      <c r="H128" s="9" t="s">
        <v>122</v>
      </c>
      <c r="I128" s="15" t="s">
        <v>74</v>
      </c>
      <c r="J128" s="11"/>
    </row>
    <row r="129" customFormat="false" ht="15" hidden="false" customHeight="true" outlineLevel="0" collapsed="false">
      <c r="A129" s="9" t="s">
        <v>394</v>
      </c>
      <c r="B129" s="10" t="n">
        <v>450</v>
      </c>
      <c r="C129" s="14" t="s">
        <v>413</v>
      </c>
      <c r="D129" s="11" t="s">
        <v>70</v>
      </c>
      <c r="E129" s="10" t="s">
        <v>100</v>
      </c>
      <c r="F129" s="12" t="s">
        <v>171</v>
      </c>
      <c r="G129" s="9" t="s">
        <v>414</v>
      </c>
      <c r="H129" s="9" t="s">
        <v>122</v>
      </c>
      <c r="I129" s="15" t="s">
        <v>74</v>
      </c>
      <c r="J129" s="11"/>
    </row>
    <row r="130" customFormat="false" ht="15" hidden="false" customHeight="true" outlineLevel="0" collapsed="false">
      <c r="A130" s="9" t="s">
        <v>394</v>
      </c>
      <c r="B130" s="10" t="n">
        <v>500</v>
      </c>
      <c r="C130" s="14" t="s">
        <v>415</v>
      </c>
      <c r="D130" s="11" t="s">
        <v>70</v>
      </c>
      <c r="E130" s="10" t="s">
        <v>100</v>
      </c>
      <c r="F130" s="12" t="s">
        <v>171</v>
      </c>
      <c r="G130" s="9" t="s">
        <v>416</v>
      </c>
      <c r="H130" s="9" t="s">
        <v>122</v>
      </c>
      <c r="I130" s="15" t="s">
        <v>74</v>
      </c>
      <c r="J130" s="11"/>
    </row>
    <row r="131" customFormat="false" ht="15" hidden="false" customHeight="true" outlineLevel="0" collapsed="false">
      <c r="A131" s="9" t="s">
        <v>394</v>
      </c>
      <c r="B131" s="10" t="n">
        <v>550</v>
      </c>
      <c r="C131" s="14" t="s">
        <v>417</v>
      </c>
      <c r="D131" s="11" t="s">
        <v>70</v>
      </c>
      <c r="E131" s="10" t="s">
        <v>100</v>
      </c>
      <c r="F131" s="12" t="s">
        <v>171</v>
      </c>
      <c r="G131" s="9" t="s">
        <v>418</v>
      </c>
      <c r="H131" s="9" t="s">
        <v>122</v>
      </c>
      <c r="I131" s="15" t="s">
        <v>74</v>
      </c>
      <c r="J131" s="11"/>
    </row>
    <row r="132" customFormat="false" ht="15" hidden="false" customHeight="true" outlineLevel="0" collapsed="false">
      <c r="A132" s="9" t="s">
        <v>394</v>
      </c>
      <c r="B132" s="10" t="n">
        <v>600</v>
      </c>
      <c r="C132" s="14" t="s">
        <v>419</v>
      </c>
      <c r="D132" s="11" t="s">
        <v>70</v>
      </c>
      <c r="E132" s="10" t="s">
        <v>40</v>
      </c>
      <c r="F132" s="12" t="s">
        <v>212</v>
      </c>
      <c r="G132" s="9" t="s">
        <v>420</v>
      </c>
      <c r="H132" s="9" t="s">
        <v>73</v>
      </c>
      <c r="I132" s="15" t="s">
        <v>74</v>
      </c>
      <c r="J132" s="11"/>
    </row>
    <row r="133" customFormat="false" ht="15" hidden="false" customHeight="true" outlineLevel="0" collapsed="false">
      <c r="A133" s="9" t="s">
        <v>394</v>
      </c>
      <c r="B133" s="10" t="n">
        <v>650</v>
      </c>
      <c r="C133" s="14" t="s">
        <v>421</v>
      </c>
      <c r="D133" s="11" t="s">
        <v>70</v>
      </c>
      <c r="E133" s="10" t="s">
        <v>40</v>
      </c>
      <c r="F133" s="12" t="s">
        <v>171</v>
      </c>
      <c r="G133" s="9" t="s">
        <v>422</v>
      </c>
      <c r="H133" s="9" t="s">
        <v>73</v>
      </c>
      <c r="I133" s="15" t="s">
        <v>74</v>
      </c>
      <c r="J133" s="11"/>
    </row>
    <row r="134" customFormat="false" ht="15" hidden="false" customHeight="true" outlineLevel="0" collapsed="false">
      <c r="A134" s="9" t="s">
        <v>394</v>
      </c>
      <c r="B134" s="10" t="n">
        <v>700</v>
      </c>
      <c r="C134" s="14" t="s">
        <v>423</v>
      </c>
      <c r="D134" s="11" t="s">
        <v>70</v>
      </c>
      <c r="E134" s="10" t="s">
        <v>100</v>
      </c>
      <c r="F134" s="12" t="s">
        <v>171</v>
      </c>
      <c r="G134" s="9" t="s">
        <v>424</v>
      </c>
      <c r="H134" s="9" t="s">
        <v>73</v>
      </c>
      <c r="I134" s="15" t="s">
        <v>74</v>
      </c>
      <c r="J134" s="11"/>
    </row>
    <row r="135" customFormat="false" ht="15" hidden="false" customHeight="true" outlineLevel="0" collapsed="false">
      <c r="A135" s="9" t="s">
        <v>394</v>
      </c>
      <c r="B135" s="10" t="n">
        <v>750</v>
      </c>
      <c r="C135" s="14" t="s">
        <v>425</v>
      </c>
      <c r="D135" s="11" t="s">
        <v>70</v>
      </c>
      <c r="E135" s="12" t="s">
        <v>219</v>
      </c>
      <c r="F135" s="12" t="s">
        <v>369</v>
      </c>
      <c r="G135" s="9" t="s">
        <v>426</v>
      </c>
      <c r="H135" s="9" t="s">
        <v>73</v>
      </c>
      <c r="I135" s="15" t="s">
        <v>74</v>
      </c>
      <c r="J135" s="11"/>
    </row>
    <row r="136" customFormat="false" ht="15" hidden="false" customHeight="true" outlineLevel="0" collapsed="false">
      <c r="A136" s="9" t="s">
        <v>394</v>
      </c>
      <c r="B136" s="10" t="n">
        <v>800</v>
      </c>
      <c r="C136" s="14" t="s">
        <v>427</v>
      </c>
      <c r="D136" s="11" t="s">
        <v>70</v>
      </c>
      <c r="E136" s="10" t="s">
        <v>109</v>
      </c>
      <c r="F136" s="12" t="s">
        <v>171</v>
      </c>
      <c r="G136" s="9" t="s">
        <v>428</v>
      </c>
      <c r="H136" s="9" t="s">
        <v>122</v>
      </c>
      <c r="I136" s="15" t="s">
        <v>74</v>
      </c>
      <c r="J136" s="11"/>
    </row>
    <row r="137" customFormat="false" ht="15" hidden="false" customHeight="true" outlineLevel="0" collapsed="false">
      <c r="A137" s="9" t="s">
        <v>394</v>
      </c>
      <c r="B137" s="10" t="n">
        <v>850</v>
      </c>
      <c r="C137" s="14" t="s">
        <v>429</v>
      </c>
      <c r="D137" s="11" t="s">
        <v>70</v>
      </c>
      <c r="E137" s="10" t="s">
        <v>211</v>
      </c>
      <c r="F137" s="12" t="s">
        <v>171</v>
      </c>
      <c r="G137" s="9" t="s">
        <v>430</v>
      </c>
      <c r="H137" s="9" t="s">
        <v>122</v>
      </c>
      <c r="I137" s="15" t="s">
        <v>74</v>
      </c>
      <c r="J137" s="11"/>
    </row>
    <row r="138" customFormat="false" ht="15" hidden="false" customHeight="true" outlineLevel="0" collapsed="false">
      <c r="A138" s="9" t="s">
        <v>394</v>
      </c>
      <c r="B138" s="10" t="n">
        <v>900</v>
      </c>
      <c r="C138" s="14" t="s">
        <v>431</v>
      </c>
      <c r="D138" s="11" t="s">
        <v>70</v>
      </c>
      <c r="E138" s="10" t="s">
        <v>133</v>
      </c>
      <c r="F138" s="12" t="s">
        <v>171</v>
      </c>
      <c r="G138" s="11" t="s">
        <v>432</v>
      </c>
      <c r="H138" s="9" t="s">
        <v>122</v>
      </c>
      <c r="I138" s="15" t="s">
        <v>74</v>
      </c>
      <c r="J138" s="9" t="s">
        <v>125</v>
      </c>
    </row>
    <row r="139" customFormat="false" ht="15" hidden="false" customHeight="true" outlineLevel="0" collapsed="false">
      <c r="A139" s="9" t="s">
        <v>394</v>
      </c>
      <c r="B139" s="10" t="n">
        <v>950</v>
      </c>
      <c r="C139" s="14" t="s">
        <v>433</v>
      </c>
      <c r="D139" s="11" t="s">
        <v>70</v>
      </c>
      <c r="E139" s="10" t="s">
        <v>133</v>
      </c>
      <c r="F139" s="12" t="s">
        <v>171</v>
      </c>
      <c r="G139" s="9" t="s">
        <v>434</v>
      </c>
      <c r="H139" s="9" t="s">
        <v>122</v>
      </c>
      <c r="I139" s="15" t="s">
        <v>74</v>
      </c>
      <c r="J139" s="11"/>
    </row>
    <row r="140" customFormat="false" ht="15" hidden="false" customHeight="true" outlineLevel="0" collapsed="false">
      <c r="A140" s="9" t="s">
        <v>435</v>
      </c>
      <c r="B140" s="10" t="n">
        <v>50</v>
      </c>
      <c r="C140" s="14" t="s">
        <v>436</v>
      </c>
      <c r="D140" s="11" t="s">
        <v>70</v>
      </c>
      <c r="E140" s="10" t="s">
        <v>77</v>
      </c>
      <c r="F140" s="12" t="s">
        <v>71</v>
      </c>
      <c r="G140" s="9" t="s">
        <v>437</v>
      </c>
      <c r="H140" s="9" t="s">
        <v>122</v>
      </c>
      <c r="I140" s="15" t="s">
        <v>74</v>
      </c>
      <c r="J140" s="11"/>
    </row>
    <row r="141" customFormat="false" ht="15" hidden="false" customHeight="true" outlineLevel="0" collapsed="false">
      <c r="A141" s="9" t="s">
        <v>435</v>
      </c>
      <c r="B141" s="10" t="n">
        <v>100</v>
      </c>
      <c r="C141" s="9" t="s">
        <v>438</v>
      </c>
      <c r="D141" s="11" t="s">
        <v>439</v>
      </c>
      <c r="E141" s="10" t="s">
        <v>40</v>
      </c>
      <c r="F141" s="12" t="s">
        <v>61</v>
      </c>
      <c r="G141" s="9" t="s">
        <v>440</v>
      </c>
      <c r="H141" s="9" t="s">
        <v>262</v>
      </c>
      <c r="I141" s="16" t="s">
        <v>85</v>
      </c>
      <c r="J141" s="11"/>
    </row>
    <row r="142" customFormat="false" ht="15" hidden="false" customHeight="true" outlineLevel="0" collapsed="false">
      <c r="A142" s="9" t="s">
        <v>435</v>
      </c>
      <c r="B142" s="10" t="n">
        <v>150</v>
      </c>
      <c r="C142" s="14" t="s">
        <v>441</v>
      </c>
      <c r="D142" s="11" t="s">
        <v>70</v>
      </c>
      <c r="E142" s="10" t="s">
        <v>77</v>
      </c>
      <c r="F142" s="12" t="s">
        <v>71</v>
      </c>
      <c r="G142" s="9" t="s">
        <v>442</v>
      </c>
      <c r="H142" s="9" t="s">
        <v>122</v>
      </c>
      <c r="I142" s="15" t="s">
        <v>74</v>
      </c>
      <c r="J142" s="11"/>
    </row>
    <row r="143" customFormat="false" ht="15" hidden="false" customHeight="true" outlineLevel="0" collapsed="false">
      <c r="A143" s="9" t="s">
        <v>435</v>
      </c>
      <c r="B143" s="10" t="n">
        <v>200</v>
      </c>
      <c r="C143" s="14" t="s">
        <v>443</v>
      </c>
      <c r="D143" s="11" t="s">
        <v>70</v>
      </c>
      <c r="E143" s="10" t="s">
        <v>40</v>
      </c>
      <c r="F143" s="12" t="s">
        <v>61</v>
      </c>
      <c r="G143" s="9" t="s">
        <v>444</v>
      </c>
      <c r="H143" s="9" t="s">
        <v>122</v>
      </c>
      <c r="I143" s="15" t="s">
        <v>74</v>
      </c>
      <c r="J143" s="11"/>
    </row>
    <row r="144" customFormat="false" ht="15" hidden="false" customHeight="true" outlineLevel="0" collapsed="false">
      <c r="A144" s="9" t="s">
        <v>435</v>
      </c>
      <c r="B144" s="10" t="n">
        <v>300</v>
      </c>
      <c r="C144" s="14" t="s">
        <v>445</v>
      </c>
      <c r="D144" s="11" t="s">
        <v>70</v>
      </c>
      <c r="E144" s="10" t="s">
        <v>40</v>
      </c>
      <c r="F144" s="12" t="s">
        <v>71</v>
      </c>
      <c r="G144" s="9" t="s">
        <v>446</v>
      </c>
      <c r="H144" s="9" t="s">
        <v>122</v>
      </c>
      <c r="I144" s="15" t="s">
        <v>74</v>
      </c>
      <c r="J144" s="11"/>
    </row>
    <row r="145" customFormat="false" ht="15" hidden="false" customHeight="true" outlineLevel="0" collapsed="false">
      <c r="A145" s="9" t="s">
        <v>435</v>
      </c>
      <c r="B145" s="10" t="n">
        <v>400</v>
      </c>
      <c r="C145" s="14" t="s">
        <v>447</v>
      </c>
      <c r="D145" s="11" t="s">
        <v>70</v>
      </c>
      <c r="E145" s="10" t="s">
        <v>109</v>
      </c>
      <c r="F145" s="12" t="s">
        <v>71</v>
      </c>
      <c r="G145" s="9" t="s">
        <v>448</v>
      </c>
      <c r="H145" s="9" t="s">
        <v>122</v>
      </c>
      <c r="I145" s="15" t="s">
        <v>74</v>
      </c>
      <c r="J145" s="11"/>
    </row>
    <row r="146" customFormat="false" ht="15" hidden="false" customHeight="true" outlineLevel="0" collapsed="false">
      <c r="A146" s="9" t="s">
        <v>435</v>
      </c>
      <c r="B146" s="10" t="n">
        <v>500</v>
      </c>
      <c r="C146" s="14" t="s">
        <v>449</v>
      </c>
      <c r="D146" s="11" t="s">
        <v>70</v>
      </c>
      <c r="E146" s="10" t="s">
        <v>211</v>
      </c>
      <c r="F146" s="12" t="s">
        <v>71</v>
      </c>
      <c r="G146" s="9" t="s">
        <v>450</v>
      </c>
      <c r="H146" s="9" t="s">
        <v>122</v>
      </c>
      <c r="I146" s="15" t="s">
        <v>74</v>
      </c>
      <c r="J146" s="11"/>
    </row>
    <row r="147" customFormat="false" ht="15" hidden="false" customHeight="true" outlineLevel="0" collapsed="false">
      <c r="A147" s="9" t="s">
        <v>435</v>
      </c>
      <c r="B147" s="10" t="n">
        <v>600</v>
      </c>
      <c r="C147" s="14" t="s">
        <v>451</v>
      </c>
      <c r="D147" s="11" t="s">
        <v>70</v>
      </c>
      <c r="E147" s="10" t="s">
        <v>211</v>
      </c>
      <c r="F147" s="12" t="s">
        <v>71</v>
      </c>
      <c r="G147" s="9" t="s">
        <v>452</v>
      </c>
      <c r="H147" s="9" t="s">
        <v>122</v>
      </c>
      <c r="I147" s="15" t="s">
        <v>74</v>
      </c>
      <c r="J147" s="11"/>
    </row>
    <row r="148" customFormat="false" ht="15" hidden="false" customHeight="true" outlineLevel="0" collapsed="false">
      <c r="A148" s="9" t="s">
        <v>435</v>
      </c>
      <c r="B148" s="10" t="n">
        <v>700</v>
      </c>
      <c r="C148" s="14" t="s">
        <v>453</v>
      </c>
      <c r="D148" s="11" t="s">
        <v>70</v>
      </c>
      <c r="E148" s="10" t="s">
        <v>120</v>
      </c>
      <c r="F148" s="12" t="s">
        <v>71</v>
      </c>
      <c r="G148" s="9" t="s">
        <v>454</v>
      </c>
      <c r="H148" s="9" t="s">
        <v>122</v>
      </c>
      <c r="I148" s="15" t="s">
        <v>74</v>
      </c>
      <c r="J148" s="11"/>
    </row>
    <row r="149" customFormat="false" ht="15" hidden="false" customHeight="true" outlineLevel="0" collapsed="false">
      <c r="A149" s="9" t="s">
        <v>435</v>
      </c>
      <c r="B149" s="10" t="n">
        <v>850</v>
      </c>
      <c r="C149" s="14" t="s">
        <v>455</v>
      </c>
      <c r="D149" s="11" t="s">
        <v>70</v>
      </c>
      <c r="E149" s="10" t="s">
        <v>128</v>
      </c>
      <c r="F149" s="12" t="s">
        <v>71</v>
      </c>
      <c r="G149" s="9" t="s">
        <v>456</v>
      </c>
      <c r="H149" s="9" t="s">
        <v>122</v>
      </c>
      <c r="I149" s="15" t="s">
        <v>74</v>
      </c>
      <c r="J149" s="9" t="s">
        <v>125</v>
      </c>
    </row>
    <row r="150" customFormat="false" ht="15" hidden="false" customHeight="true" outlineLevel="0" collapsed="false">
      <c r="A150" s="9" t="s">
        <v>435</v>
      </c>
      <c r="B150" s="10" t="n">
        <v>950</v>
      </c>
      <c r="C150" s="14" t="s">
        <v>457</v>
      </c>
      <c r="D150" s="11" t="s">
        <v>70</v>
      </c>
      <c r="E150" s="10" t="s">
        <v>120</v>
      </c>
      <c r="F150" s="12" t="s">
        <v>71</v>
      </c>
      <c r="G150" s="9" t="s">
        <v>350</v>
      </c>
      <c r="H150" s="9" t="s">
        <v>122</v>
      </c>
      <c r="I150" s="15" t="s">
        <v>74</v>
      </c>
      <c r="J150" s="11"/>
    </row>
    <row r="151" customFormat="false" ht="15" hidden="false" customHeight="true" outlineLevel="0" collapsed="false">
      <c r="A151" s="9" t="s">
        <v>458</v>
      </c>
      <c r="B151" s="10" t="n">
        <v>1</v>
      </c>
      <c r="C151" s="9" t="s">
        <v>459</v>
      </c>
      <c r="D151" s="11" t="s">
        <v>460</v>
      </c>
      <c r="E151" s="10" t="s">
        <v>40</v>
      </c>
      <c r="F151" s="12" t="s">
        <v>212</v>
      </c>
      <c r="G151" s="9" t="s">
        <v>461</v>
      </c>
      <c r="H151" s="11" t="s">
        <v>462</v>
      </c>
      <c r="I151" s="13" t="s">
        <v>58</v>
      </c>
      <c r="J151" s="11"/>
    </row>
    <row r="152" customFormat="false" ht="29.25" hidden="false" customHeight="true" outlineLevel="0" collapsed="false">
      <c r="A152" s="9" t="s">
        <v>463</v>
      </c>
      <c r="B152" s="10" t="n">
        <v>1</v>
      </c>
      <c r="C152" s="9" t="s">
        <v>464</v>
      </c>
      <c r="D152" s="11" t="s">
        <v>465</v>
      </c>
      <c r="E152" s="10" t="s">
        <v>40</v>
      </c>
      <c r="F152" s="12" t="s">
        <v>171</v>
      </c>
      <c r="G152" s="9" t="s">
        <v>466</v>
      </c>
      <c r="H152" s="9" t="s">
        <v>467</v>
      </c>
      <c r="I152" s="13" t="s">
        <v>44</v>
      </c>
      <c r="J152" s="11"/>
    </row>
    <row r="153" customFormat="false" ht="15" hidden="false" customHeight="true" outlineLevel="0" collapsed="false">
      <c r="A153" s="9" t="s">
        <v>463</v>
      </c>
      <c r="B153" s="10" t="n">
        <v>100</v>
      </c>
      <c r="C153" s="9" t="s">
        <v>468</v>
      </c>
      <c r="D153" s="11" t="s">
        <v>469</v>
      </c>
      <c r="E153" s="10" t="s">
        <v>40</v>
      </c>
      <c r="F153" s="12" t="s">
        <v>171</v>
      </c>
      <c r="G153" s="9" t="s">
        <v>470</v>
      </c>
      <c r="H153" s="9" t="s">
        <v>68</v>
      </c>
      <c r="I153" s="16" t="s">
        <v>85</v>
      </c>
      <c r="J153" s="11"/>
    </row>
    <row r="154" customFormat="false" ht="29.25" hidden="false" customHeight="true" outlineLevel="0" collapsed="false">
      <c r="A154" s="9" t="s">
        <v>463</v>
      </c>
      <c r="B154" s="10" t="n">
        <v>200</v>
      </c>
      <c r="C154" s="9" t="s">
        <v>471</v>
      </c>
      <c r="D154" s="11" t="s">
        <v>472</v>
      </c>
      <c r="E154" s="10" t="s">
        <v>40</v>
      </c>
      <c r="F154" s="12" t="s">
        <v>171</v>
      </c>
      <c r="G154" s="9" t="s">
        <v>473</v>
      </c>
      <c r="H154" s="9" t="s">
        <v>474</v>
      </c>
      <c r="I154" s="13" t="s">
        <v>44</v>
      </c>
      <c r="J154" s="11"/>
    </row>
    <row r="155" customFormat="false" ht="15" hidden="false" customHeight="true" outlineLevel="0" collapsed="false">
      <c r="A155" s="9" t="s">
        <v>463</v>
      </c>
      <c r="B155" s="10" t="n">
        <v>350</v>
      </c>
      <c r="C155" s="9" t="s">
        <v>475</v>
      </c>
      <c r="D155" s="11" t="s">
        <v>476</v>
      </c>
      <c r="E155" s="10" t="s">
        <v>40</v>
      </c>
      <c r="F155" s="12" t="s">
        <v>477</v>
      </c>
      <c r="G155" s="9" t="s">
        <v>478</v>
      </c>
      <c r="H155" s="11" t="s">
        <v>479</v>
      </c>
      <c r="I155" s="13" t="s">
        <v>58</v>
      </c>
      <c r="J155" s="11"/>
    </row>
    <row r="156" customFormat="false" ht="29.25" hidden="false" customHeight="true" outlineLevel="0" collapsed="false">
      <c r="A156" s="9" t="s">
        <v>463</v>
      </c>
      <c r="B156" s="10" t="n">
        <v>600</v>
      </c>
      <c r="C156" s="9" t="s">
        <v>480</v>
      </c>
      <c r="D156" s="11" t="s">
        <v>481</v>
      </c>
      <c r="E156" s="10" t="s">
        <v>70</v>
      </c>
      <c r="F156" s="12" t="s">
        <v>482</v>
      </c>
      <c r="G156" s="11" t="s">
        <v>483</v>
      </c>
      <c r="H156" s="11" t="s">
        <v>484</v>
      </c>
      <c r="I156" s="20" t="s">
        <v>485</v>
      </c>
      <c r="J156" s="11"/>
    </row>
    <row r="157" customFormat="false" ht="15" hidden="false" customHeight="true" outlineLevel="0" collapsed="false">
      <c r="A157" s="9" t="s">
        <v>486</v>
      </c>
      <c r="B157" s="10" t="n">
        <v>30</v>
      </c>
      <c r="C157" s="9" t="s">
        <v>487</v>
      </c>
      <c r="D157" s="11" t="s">
        <v>488</v>
      </c>
      <c r="E157" s="10" t="s">
        <v>40</v>
      </c>
      <c r="F157" s="12" t="s">
        <v>61</v>
      </c>
      <c r="G157" s="9" t="s">
        <v>489</v>
      </c>
      <c r="H157" s="9" t="s">
        <v>490</v>
      </c>
      <c r="I157" s="13" t="s">
        <v>44</v>
      </c>
      <c r="J157" s="9" t="s">
        <v>491</v>
      </c>
    </row>
    <row r="158" customFormat="false" ht="15" hidden="false" customHeight="true" outlineLevel="0" collapsed="false">
      <c r="A158" s="9" t="s">
        <v>486</v>
      </c>
      <c r="B158" s="10" t="n">
        <v>80</v>
      </c>
      <c r="C158" s="9" t="s">
        <v>492</v>
      </c>
      <c r="D158" s="11" t="s">
        <v>472</v>
      </c>
      <c r="E158" s="10" t="s">
        <v>40</v>
      </c>
      <c r="F158" s="12" t="s">
        <v>78</v>
      </c>
      <c r="G158" s="9" t="s">
        <v>493</v>
      </c>
      <c r="H158" s="9" t="s">
        <v>490</v>
      </c>
      <c r="I158" s="13" t="s">
        <v>44</v>
      </c>
      <c r="J158" s="11"/>
    </row>
    <row r="159" customFormat="false" ht="15" hidden="false" customHeight="true" outlineLevel="0" collapsed="false">
      <c r="A159" s="9" t="s">
        <v>486</v>
      </c>
      <c r="B159" s="10" t="n">
        <v>150</v>
      </c>
      <c r="C159" s="9" t="s">
        <v>494</v>
      </c>
      <c r="D159" s="11" t="s">
        <v>495</v>
      </c>
      <c r="E159" s="10" t="s">
        <v>40</v>
      </c>
      <c r="F159" s="12" t="s">
        <v>496</v>
      </c>
      <c r="G159" s="9" t="s">
        <v>497</v>
      </c>
      <c r="H159" s="9" t="s">
        <v>490</v>
      </c>
      <c r="I159" s="13" t="s">
        <v>44</v>
      </c>
      <c r="J159" s="11"/>
    </row>
    <row r="160" customFormat="false" ht="15" hidden="false" customHeight="true" outlineLevel="0" collapsed="false">
      <c r="A160" s="9" t="s">
        <v>486</v>
      </c>
      <c r="B160" s="10" t="n">
        <v>250</v>
      </c>
      <c r="C160" s="9" t="s">
        <v>498</v>
      </c>
      <c r="D160" s="11" t="s">
        <v>499</v>
      </c>
      <c r="E160" s="10" t="s">
        <v>40</v>
      </c>
      <c r="F160" s="12" t="s">
        <v>78</v>
      </c>
      <c r="G160" s="11" t="s">
        <v>500</v>
      </c>
      <c r="H160" s="9" t="s">
        <v>490</v>
      </c>
      <c r="I160" s="13" t="s">
        <v>44</v>
      </c>
      <c r="J160" s="11"/>
    </row>
    <row r="161" customFormat="false" ht="15" hidden="false" customHeight="true" outlineLevel="0" collapsed="false">
      <c r="A161" s="9" t="s">
        <v>486</v>
      </c>
      <c r="B161" s="10" t="n">
        <v>400</v>
      </c>
      <c r="C161" s="9" t="s">
        <v>501</v>
      </c>
      <c r="D161" s="11" t="s">
        <v>502</v>
      </c>
      <c r="E161" s="10" t="s">
        <v>100</v>
      </c>
      <c r="F161" s="12" t="s">
        <v>503</v>
      </c>
      <c r="G161" s="9" t="s">
        <v>504</v>
      </c>
      <c r="H161" s="9" t="s">
        <v>490</v>
      </c>
      <c r="I161" s="13" t="s">
        <v>44</v>
      </c>
      <c r="J161" s="9" t="s">
        <v>491</v>
      </c>
    </row>
    <row r="162" customFormat="false" ht="15" hidden="false" customHeight="true" outlineLevel="0" collapsed="false">
      <c r="A162" s="9" t="s">
        <v>486</v>
      </c>
      <c r="B162" s="10" t="n">
        <v>500</v>
      </c>
      <c r="C162" s="14" t="s">
        <v>505</v>
      </c>
      <c r="D162" s="11" t="s">
        <v>70</v>
      </c>
      <c r="E162" s="10" t="s">
        <v>100</v>
      </c>
      <c r="F162" s="12" t="s">
        <v>78</v>
      </c>
      <c r="G162" s="9" t="s">
        <v>506</v>
      </c>
      <c r="H162" s="9" t="s">
        <v>122</v>
      </c>
      <c r="I162" s="15" t="s">
        <v>74</v>
      </c>
      <c r="J162" s="11"/>
    </row>
    <row r="163" customFormat="false" ht="15" hidden="false" customHeight="true" outlineLevel="0" collapsed="false">
      <c r="A163" s="9" t="s">
        <v>486</v>
      </c>
      <c r="B163" s="10" t="n">
        <v>600</v>
      </c>
      <c r="C163" s="14" t="s">
        <v>507</v>
      </c>
      <c r="D163" s="11" t="s">
        <v>70</v>
      </c>
      <c r="E163" s="10" t="s">
        <v>211</v>
      </c>
      <c r="F163" s="12" t="s">
        <v>78</v>
      </c>
      <c r="G163" s="9" t="s">
        <v>508</v>
      </c>
      <c r="H163" s="9" t="s">
        <v>122</v>
      </c>
      <c r="I163" s="15" t="s">
        <v>74</v>
      </c>
      <c r="J163" s="11"/>
    </row>
    <row r="164" customFormat="false" ht="15" hidden="false" customHeight="true" outlineLevel="0" collapsed="false">
      <c r="A164" s="9" t="s">
        <v>486</v>
      </c>
      <c r="B164" s="10" t="n">
        <v>650</v>
      </c>
      <c r="C164" s="14" t="s">
        <v>509</v>
      </c>
      <c r="D164" s="11" t="s">
        <v>70</v>
      </c>
      <c r="E164" s="10" t="s">
        <v>100</v>
      </c>
      <c r="F164" s="12" t="s">
        <v>78</v>
      </c>
      <c r="G164" s="9" t="s">
        <v>510</v>
      </c>
      <c r="H164" s="9" t="s">
        <v>122</v>
      </c>
      <c r="I164" s="15" t="s">
        <v>74</v>
      </c>
      <c r="J164" s="11"/>
    </row>
    <row r="165" customFormat="false" ht="15" hidden="false" customHeight="true" outlineLevel="0" collapsed="false">
      <c r="A165" s="9" t="s">
        <v>486</v>
      </c>
      <c r="B165" s="10" t="n">
        <v>700</v>
      </c>
      <c r="C165" s="9" t="s">
        <v>511</v>
      </c>
      <c r="D165" s="11" t="s">
        <v>512</v>
      </c>
      <c r="E165" s="10" t="s">
        <v>40</v>
      </c>
      <c r="F165" s="12" t="s">
        <v>78</v>
      </c>
      <c r="G165" s="9" t="s">
        <v>513</v>
      </c>
      <c r="H165" s="11" t="s">
        <v>149</v>
      </c>
      <c r="I165" s="19" t="s">
        <v>150</v>
      </c>
      <c r="J165" s="9" t="s">
        <v>141</v>
      </c>
    </row>
    <row r="166" customFormat="false" ht="15" hidden="false" customHeight="true" outlineLevel="0" collapsed="false">
      <c r="A166" s="9" t="s">
        <v>486</v>
      </c>
      <c r="B166" s="10" t="n">
        <v>760</v>
      </c>
      <c r="C166" s="14" t="s">
        <v>514</v>
      </c>
      <c r="D166" s="11" t="s">
        <v>70</v>
      </c>
      <c r="E166" s="10" t="s">
        <v>100</v>
      </c>
      <c r="F166" s="12" t="s">
        <v>78</v>
      </c>
      <c r="G166" s="11" t="s">
        <v>515</v>
      </c>
      <c r="H166" s="9" t="s">
        <v>122</v>
      </c>
      <c r="I166" s="15" t="s">
        <v>74</v>
      </c>
      <c r="J166" s="9" t="s">
        <v>125</v>
      </c>
    </row>
    <row r="167" customFormat="false" ht="15" hidden="false" customHeight="true" outlineLevel="0" collapsed="false">
      <c r="A167" s="9" t="s">
        <v>486</v>
      </c>
      <c r="B167" s="10" t="n">
        <v>900</v>
      </c>
      <c r="C167" s="14" t="s">
        <v>516</v>
      </c>
      <c r="D167" s="11" t="s">
        <v>70</v>
      </c>
      <c r="E167" s="10" t="s">
        <v>211</v>
      </c>
      <c r="F167" s="12" t="s">
        <v>78</v>
      </c>
      <c r="G167" s="9" t="s">
        <v>517</v>
      </c>
      <c r="H167" s="9" t="s">
        <v>122</v>
      </c>
      <c r="I167" s="15" t="s">
        <v>74</v>
      </c>
      <c r="J167" s="11"/>
    </row>
    <row r="168" customFormat="false" ht="15" hidden="false" customHeight="true" outlineLevel="0" collapsed="false">
      <c r="A168" s="9" t="s">
        <v>486</v>
      </c>
      <c r="B168" s="10" t="n">
        <v>1000</v>
      </c>
      <c r="C168" s="9" t="s">
        <v>518</v>
      </c>
      <c r="D168" s="11" t="s">
        <v>519</v>
      </c>
      <c r="E168" s="10" t="s">
        <v>40</v>
      </c>
      <c r="F168" s="12" t="s">
        <v>78</v>
      </c>
      <c r="G168" s="9" t="s">
        <v>520</v>
      </c>
      <c r="H168" s="9" t="s">
        <v>485</v>
      </c>
      <c r="I168" s="20" t="s">
        <v>485</v>
      </c>
      <c r="J168" s="11"/>
    </row>
    <row r="169" customFormat="false" ht="15" hidden="false" customHeight="true" outlineLevel="0" collapsed="false">
      <c r="A169" s="9" t="s">
        <v>521</v>
      </c>
      <c r="B169" s="10" t="n">
        <v>300</v>
      </c>
      <c r="C169" s="9" t="s">
        <v>522</v>
      </c>
      <c r="D169" s="11" t="s">
        <v>523</v>
      </c>
      <c r="E169" s="10" t="s">
        <v>70</v>
      </c>
      <c r="F169" s="12" t="s">
        <v>482</v>
      </c>
      <c r="G169" s="9" t="s">
        <v>524</v>
      </c>
      <c r="H169" s="11" t="s">
        <v>525</v>
      </c>
      <c r="I169" s="13" t="s">
        <v>58</v>
      </c>
      <c r="J169" s="11"/>
    </row>
    <row r="170" customFormat="false" ht="15" hidden="false" customHeight="true" outlineLevel="0" collapsed="false">
      <c r="A170" s="9" t="s">
        <v>526</v>
      </c>
      <c r="B170" s="10" t="n">
        <v>50</v>
      </c>
      <c r="C170" s="9" t="s">
        <v>527</v>
      </c>
      <c r="D170" s="11" t="s">
        <v>528</v>
      </c>
      <c r="E170" s="10" t="s">
        <v>77</v>
      </c>
      <c r="F170" s="12" t="s">
        <v>61</v>
      </c>
      <c r="G170" s="9" t="s">
        <v>529</v>
      </c>
      <c r="H170" s="11" t="s">
        <v>530</v>
      </c>
      <c r="I170" s="13" t="s">
        <v>58</v>
      </c>
      <c r="J170" s="9" t="s">
        <v>531</v>
      </c>
    </row>
    <row r="171" customFormat="false" ht="15" hidden="false" customHeight="true" outlineLevel="0" collapsed="false">
      <c r="A171" s="9" t="s">
        <v>526</v>
      </c>
      <c r="B171" s="10" t="n">
        <v>100</v>
      </c>
      <c r="C171" s="9" t="s">
        <v>532</v>
      </c>
      <c r="D171" s="11" t="s">
        <v>533</v>
      </c>
      <c r="E171" s="10" t="s">
        <v>70</v>
      </c>
      <c r="F171" s="12" t="s">
        <v>482</v>
      </c>
      <c r="G171" s="9" t="s">
        <v>534</v>
      </c>
      <c r="H171" s="11" t="s">
        <v>149</v>
      </c>
      <c r="I171" s="19" t="s">
        <v>150</v>
      </c>
      <c r="J171" s="9" t="s">
        <v>141</v>
      </c>
    </row>
    <row r="172" customFormat="false" ht="15" hidden="false" customHeight="true" outlineLevel="0" collapsed="false">
      <c r="A172" s="9" t="s">
        <v>526</v>
      </c>
      <c r="B172" s="10" t="n">
        <v>150</v>
      </c>
      <c r="C172" s="14" t="s">
        <v>535</v>
      </c>
      <c r="D172" s="11" t="s">
        <v>70</v>
      </c>
      <c r="E172" s="10" t="s">
        <v>77</v>
      </c>
      <c r="F172" s="12" t="s">
        <v>78</v>
      </c>
      <c r="G172" s="9" t="s">
        <v>536</v>
      </c>
      <c r="H172" s="9" t="s">
        <v>122</v>
      </c>
      <c r="I172" s="15" t="s">
        <v>74</v>
      </c>
      <c r="J172" s="11"/>
    </row>
    <row r="173" customFormat="false" ht="15" hidden="false" customHeight="true" outlineLevel="0" collapsed="false">
      <c r="A173" s="9" t="s">
        <v>526</v>
      </c>
      <c r="B173" s="10" t="n">
        <v>250</v>
      </c>
      <c r="C173" s="14" t="s">
        <v>537</v>
      </c>
      <c r="D173" s="11" t="s">
        <v>70</v>
      </c>
      <c r="E173" s="10" t="s">
        <v>109</v>
      </c>
      <c r="F173" s="12" t="s">
        <v>78</v>
      </c>
      <c r="G173" s="9" t="s">
        <v>538</v>
      </c>
      <c r="H173" s="9" t="s">
        <v>122</v>
      </c>
      <c r="I173" s="15" t="s">
        <v>74</v>
      </c>
      <c r="J173" s="11"/>
    </row>
    <row r="174" customFormat="false" ht="15" hidden="false" customHeight="true" outlineLevel="0" collapsed="false">
      <c r="A174" s="9" t="s">
        <v>526</v>
      </c>
      <c r="B174" s="10" t="n">
        <v>350</v>
      </c>
      <c r="C174" s="14" t="s">
        <v>539</v>
      </c>
      <c r="D174" s="11" t="s">
        <v>70</v>
      </c>
      <c r="E174" s="10" t="s">
        <v>211</v>
      </c>
      <c r="F174" s="12" t="s">
        <v>78</v>
      </c>
      <c r="G174" s="9" t="s">
        <v>540</v>
      </c>
      <c r="H174" s="9" t="s">
        <v>122</v>
      </c>
      <c r="I174" s="15" t="s">
        <v>74</v>
      </c>
      <c r="J174" s="11"/>
    </row>
    <row r="175" customFormat="false" ht="15" hidden="false" customHeight="true" outlineLevel="0" collapsed="false">
      <c r="A175" s="9" t="s">
        <v>526</v>
      </c>
      <c r="B175" s="10" t="n">
        <v>400</v>
      </c>
      <c r="C175" s="14" t="s">
        <v>541</v>
      </c>
      <c r="D175" s="11" t="s">
        <v>70</v>
      </c>
      <c r="E175" s="10" t="s">
        <v>211</v>
      </c>
      <c r="F175" s="12" t="s">
        <v>78</v>
      </c>
      <c r="G175" s="9" t="s">
        <v>542</v>
      </c>
      <c r="H175" s="9" t="s">
        <v>122</v>
      </c>
      <c r="I175" s="15" t="s">
        <v>74</v>
      </c>
      <c r="J175" s="11"/>
    </row>
    <row r="176" customFormat="false" ht="15" hidden="false" customHeight="true" outlineLevel="0" collapsed="false">
      <c r="A176" s="9" t="s">
        <v>526</v>
      </c>
      <c r="B176" s="10" t="n">
        <v>500</v>
      </c>
      <c r="C176" s="14" t="s">
        <v>543</v>
      </c>
      <c r="D176" s="11" t="s">
        <v>70</v>
      </c>
      <c r="E176" s="10" t="s">
        <v>128</v>
      </c>
      <c r="F176" s="12" t="s">
        <v>78</v>
      </c>
      <c r="G176" s="9" t="s">
        <v>544</v>
      </c>
      <c r="H176" s="9" t="s">
        <v>122</v>
      </c>
      <c r="I176" s="15" t="s">
        <v>74</v>
      </c>
      <c r="J176" s="11"/>
    </row>
    <row r="177" customFormat="false" ht="15" hidden="false" customHeight="true" outlineLevel="0" collapsed="false">
      <c r="A177" s="9" t="s">
        <v>526</v>
      </c>
      <c r="B177" s="10" t="n">
        <v>600</v>
      </c>
      <c r="C177" s="14" t="s">
        <v>545</v>
      </c>
      <c r="D177" s="11" t="s">
        <v>70</v>
      </c>
      <c r="E177" s="10" t="s">
        <v>133</v>
      </c>
      <c r="F177" s="12" t="s">
        <v>78</v>
      </c>
      <c r="G177" s="9" t="s">
        <v>546</v>
      </c>
      <c r="H177" s="9" t="s">
        <v>122</v>
      </c>
      <c r="I177" s="15" t="s">
        <v>74</v>
      </c>
      <c r="J177" s="11"/>
    </row>
    <row r="178" customFormat="false" ht="15" hidden="false" customHeight="true" outlineLevel="0" collapsed="false">
      <c r="A178" s="9" t="s">
        <v>526</v>
      </c>
      <c r="B178" s="10" t="n">
        <v>700</v>
      </c>
      <c r="C178" s="14" t="s">
        <v>547</v>
      </c>
      <c r="D178" s="11" t="s">
        <v>70</v>
      </c>
      <c r="E178" s="10" t="s">
        <v>226</v>
      </c>
      <c r="F178" s="12" t="s">
        <v>78</v>
      </c>
      <c r="G178" s="9" t="s">
        <v>548</v>
      </c>
      <c r="H178" s="9" t="s">
        <v>122</v>
      </c>
      <c r="I178" s="15" t="s">
        <v>74</v>
      </c>
      <c r="J178" s="11"/>
    </row>
    <row r="179" customFormat="false" ht="15" hidden="false" customHeight="true" outlineLevel="0" collapsed="false">
      <c r="A179" s="9" t="s">
        <v>526</v>
      </c>
      <c r="B179" s="10" t="n">
        <v>750</v>
      </c>
      <c r="C179" s="14" t="s">
        <v>549</v>
      </c>
      <c r="D179" s="11" t="s">
        <v>70</v>
      </c>
      <c r="E179" s="10" t="s">
        <v>550</v>
      </c>
      <c r="F179" s="12" t="s">
        <v>78</v>
      </c>
      <c r="G179" s="9" t="s">
        <v>551</v>
      </c>
      <c r="H179" s="9" t="s">
        <v>122</v>
      </c>
      <c r="I179" s="15" t="s">
        <v>74</v>
      </c>
      <c r="J179" s="11"/>
    </row>
    <row r="180" customFormat="false" ht="15" hidden="false" customHeight="true" outlineLevel="0" collapsed="false">
      <c r="A180" s="9" t="s">
        <v>526</v>
      </c>
      <c r="B180" s="10" t="n">
        <v>850</v>
      </c>
      <c r="C180" s="9" t="s">
        <v>552</v>
      </c>
      <c r="D180" s="11" t="s">
        <v>553</v>
      </c>
      <c r="E180" s="10" t="s">
        <v>554</v>
      </c>
      <c r="F180" s="12" t="s">
        <v>147</v>
      </c>
      <c r="G180" s="9" t="s">
        <v>555</v>
      </c>
      <c r="H180" s="11" t="s">
        <v>556</v>
      </c>
      <c r="I180" s="13" t="s">
        <v>58</v>
      </c>
      <c r="J180" s="9" t="s">
        <v>557</v>
      </c>
    </row>
    <row r="181" customFormat="false" ht="15" hidden="false" customHeight="true" outlineLevel="0" collapsed="false">
      <c r="A181" s="9" t="s">
        <v>526</v>
      </c>
      <c r="B181" s="10" t="n">
        <v>880</v>
      </c>
      <c r="C181" s="14" t="s">
        <v>558</v>
      </c>
      <c r="D181" s="11" t="s">
        <v>70</v>
      </c>
      <c r="E181" s="10" t="s">
        <v>554</v>
      </c>
      <c r="F181" s="12" t="s">
        <v>78</v>
      </c>
      <c r="G181" s="9" t="s">
        <v>559</v>
      </c>
      <c r="H181" s="9" t="s">
        <v>122</v>
      </c>
      <c r="I181" s="15" t="s">
        <v>74</v>
      </c>
      <c r="J181" s="11"/>
    </row>
    <row r="182" customFormat="false" ht="15" hidden="false" customHeight="true" outlineLevel="0" collapsed="false">
      <c r="A182" s="9" t="s">
        <v>526</v>
      </c>
      <c r="B182" s="10" t="n">
        <v>920</v>
      </c>
      <c r="C182" s="14" t="s">
        <v>560</v>
      </c>
      <c r="D182" s="11" t="s">
        <v>70</v>
      </c>
      <c r="E182" s="10" t="s">
        <v>561</v>
      </c>
      <c r="F182" s="12" t="s">
        <v>78</v>
      </c>
      <c r="G182" s="9" t="s">
        <v>562</v>
      </c>
      <c r="H182" s="9" t="s">
        <v>122</v>
      </c>
      <c r="I182" s="15" t="s">
        <v>74</v>
      </c>
      <c r="J182" s="9" t="s">
        <v>125</v>
      </c>
    </row>
    <row r="183" customFormat="false" ht="15" hidden="false" customHeight="true" outlineLevel="0" collapsed="false">
      <c r="A183" s="9" t="s">
        <v>526</v>
      </c>
      <c r="B183" s="10" t="n">
        <v>1000</v>
      </c>
      <c r="C183" s="9" t="s">
        <v>563</v>
      </c>
      <c r="D183" s="11" t="s">
        <v>564</v>
      </c>
      <c r="E183" s="10" t="s">
        <v>565</v>
      </c>
      <c r="F183" s="12" t="s">
        <v>147</v>
      </c>
      <c r="G183" s="9" t="s">
        <v>566</v>
      </c>
      <c r="H183" s="11" t="s">
        <v>567</v>
      </c>
      <c r="I183" s="13" t="s">
        <v>58</v>
      </c>
      <c r="J183" s="9" t="s">
        <v>568</v>
      </c>
    </row>
    <row r="184" customFormat="false" ht="15" hidden="false" customHeight="true" outlineLevel="0" collapsed="false">
      <c r="A184" s="9" t="s">
        <v>569</v>
      </c>
      <c r="B184" s="10" t="n">
        <v>500</v>
      </c>
      <c r="C184" s="11" t="s">
        <v>570</v>
      </c>
      <c r="D184" s="11" t="s">
        <v>571</v>
      </c>
      <c r="E184" s="10" t="s">
        <v>40</v>
      </c>
      <c r="F184" s="12" t="s">
        <v>369</v>
      </c>
      <c r="G184" s="9" t="s">
        <v>572</v>
      </c>
      <c r="H184" s="9" t="s">
        <v>485</v>
      </c>
      <c r="I184" s="20" t="s">
        <v>485</v>
      </c>
      <c r="J184" s="9" t="s">
        <v>573</v>
      </c>
    </row>
    <row r="185" customFormat="false" ht="15" hidden="false" customHeight="true" outlineLevel="0" collapsed="false">
      <c r="A185" s="9" t="s">
        <v>574</v>
      </c>
      <c r="B185" s="10" t="n">
        <v>500</v>
      </c>
      <c r="C185" s="9" t="s">
        <v>575</v>
      </c>
      <c r="D185" s="11" t="s">
        <v>576</v>
      </c>
      <c r="E185" s="10" t="s">
        <v>128</v>
      </c>
      <c r="F185" s="12" t="s">
        <v>577</v>
      </c>
      <c r="G185" s="9" t="s">
        <v>578</v>
      </c>
      <c r="H185" s="11" t="s">
        <v>579</v>
      </c>
      <c r="I185" s="13" t="s">
        <v>58</v>
      </c>
      <c r="J185" s="9" t="s">
        <v>580</v>
      </c>
    </row>
    <row r="186" customFormat="false" ht="15" hidden="false" customHeight="true" outlineLevel="0" collapsed="false">
      <c r="A186" s="9" t="s">
        <v>574</v>
      </c>
      <c r="B186" s="10" t="n">
        <v>600</v>
      </c>
      <c r="C186" s="9" t="s">
        <v>581</v>
      </c>
      <c r="D186" s="11" t="s">
        <v>582</v>
      </c>
      <c r="E186" s="10" t="s">
        <v>77</v>
      </c>
      <c r="F186" s="12" t="s">
        <v>583</v>
      </c>
      <c r="G186" s="9" t="s">
        <v>584</v>
      </c>
      <c r="H186" s="11" t="s">
        <v>585</v>
      </c>
      <c r="I186" s="21" t="s">
        <v>586</v>
      </c>
      <c r="J186" s="9" t="s">
        <v>587</v>
      </c>
    </row>
  </sheetData>
  <autoFilter ref="A1:J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4"/>
  </cols>
  <sheetData>
    <row r="1" customFormat="false" ht="15" hidden="false" customHeight="true" outlineLevel="0" collapsed="false">
      <c r="A1" s="8" t="s">
        <v>27</v>
      </c>
      <c r="B1" s="8" t="s">
        <v>588</v>
      </c>
      <c r="C1" s="8" t="s">
        <v>589</v>
      </c>
    </row>
    <row r="2" customFormat="false" ht="15" hidden="false" customHeight="true" outlineLevel="0" collapsed="false">
      <c r="A2" s="22" t="s">
        <v>37</v>
      </c>
      <c r="B2" s="10" t="n">
        <f aca="false">COUNTIF(ソードスキル一覧!$A$2:$A$186,A2)</f>
        <v>24</v>
      </c>
      <c r="C2" s="10" t="n">
        <f aca="false">COUNTIFS(ソードスキル一覧!$A$2:$A$186,A2,ソードスキル一覧!$I$2:$I$186,"ゲーム出典")</f>
        <v>5</v>
      </c>
    </row>
    <row r="3" customFormat="false" ht="15" hidden="false" customHeight="true" outlineLevel="0" collapsed="false">
      <c r="A3" s="22" t="s">
        <v>151</v>
      </c>
      <c r="B3" s="10" t="n">
        <f aca="false">COUNTIF(ソードスキル一覧!$A$2:$A$186,A3)</f>
        <v>12</v>
      </c>
      <c r="C3" s="10" t="n">
        <f aca="false">COUNTIFS(ソードスキル一覧!$A$2:$A$186,A3,ソードスキル一覧!$I$2:$I$186,"ゲーム出典")</f>
        <v>9</v>
      </c>
    </row>
    <row r="4" customFormat="false" ht="15" hidden="false" customHeight="true" outlineLevel="0" collapsed="false">
      <c r="A4" s="22" t="s">
        <v>183</v>
      </c>
      <c r="B4" s="10" t="n">
        <f aca="false">COUNTIF(ソードスキル一覧!$A$2:$A$186,A4)</f>
        <v>18</v>
      </c>
      <c r="C4" s="10" t="n">
        <f aca="false">COUNTIFS(ソードスキル一覧!$A$2:$A$186,A4,ソードスキル一覧!$I$2:$I$186,"ゲーム出典")</f>
        <v>15</v>
      </c>
    </row>
    <row r="5" customFormat="false" ht="15" hidden="false" customHeight="true" outlineLevel="0" collapsed="false">
      <c r="A5" s="22" t="s">
        <v>230</v>
      </c>
      <c r="B5" s="10" t="n">
        <f aca="false">COUNTIF(ソードスキル一覧!$A$2:$A$186,A5)</f>
        <v>25</v>
      </c>
      <c r="C5" s="10" t="n">
        <f aca="false">COUNTIFS(ソードスキル一覧!$A$2:$A$186,A5,ソードスキル一覧!$I$2:$I$186,"ゲーム出典")</f>
        <v>12</v>
      </c>
    </row>
    <row r="6" customFormat="false" ht="15" hidden="false" customHeight="true" outlineLevel="0" collapsed="false">
      <c r="A6" s="22" t="s">
        <v>306</v>
      </c>
      <c r="B6" s="10" t="n">
        <f aca="false">COUNTIF(ソードスキル一覧!$A$2:$A$186,A6)</f>
        <v>19</v>
      </c>
      <c r="C6" s="10" t="n">
        <f aca="false">COUNTIFS(ソードスキル一覧!$A$2:$A$186,A6,ソードスキル一覧!$I$2:$I$186,"ゲーム出典")</f>
        <v>14</v>
      </c>
    </row>
    <row r="7" customFormat="false" ht="15" hidden="false" customHeight="true" outlineLevel="0" collapsed="false">
      <c r="A7" s="22" t="s">
        <v>351</v>
      </c>
      <c r="B7" s="10" t="n">
        <f aca="false">COUNTIF(ソードスキル一覧!$A$2:$A$186,A7)</f>
        <v>1</v>
      </c>
      <c r="C7" s="10" t="n">
        <f aca="false">COUNTIFS(ソードスキル一覧!$A$2:$A$186,A7,ソードスキル一覧!$I$2:$I$186,"ゲーム出典")</f>
        <v>0</v>
      </c>
    </row>
    <row r="8" customFormat="false" ht="15" hidden="false" customHeight="true" outlineLevel="0" collapsed="false">
      <c r="A8" s="22" t="s">
        <v>354</v>
      </c>
      <c r="B8" s="10" t="n">
        <f aca="false">COUNTIF(ソードスキル一覧!$A$2:$A$186,A8)</f>
        <v>19</v>
      </c>
      <c r="C8" s="10" t="n">
        <f aca="false">COUNTIFS(ソードスキル一覧!$A$2:$A$186,A8,ソードスキル一覧!$I$2:$I$186,"ゲーム出典")</f>
        <v>18</v>
      </c>
    </row>
    <row r="9" customFormat="false" ht="15" hidden="false" customHeight="true" outlineLevel="0" collapsed="false">
      <c r="A9" s="22" t="s">
        <v>394</v>
      </c>
      <c r="B9" s="10" t="n">
        <f aca="false">COUNTIF(ソードスキル一覧!$A$2:$A$186,A9)</f>
        <v>20</v>
      </c>
      <c r="C9" s="10" t="n">
        <f aca="false">COUNTIFS(ソードスキル一覧!$A$2:$A$186,A9,ソードスキル一覧!$I$2:$I$186,"ゲーム出典")</f>
        <v>20</v>
      </c>
    </row>
    <row r="10" customFormat="false" ht="15" hidden="false" customHeight="true" outlineLevel="0" collapsed="false">
      <c r="A10" s="22" t="s">
        <v>435</v>
      </c>
      <c r="B10" s="10" t="n">
        <f aca="false">COUNTIF(ソードスキル一覧!$A$2:$A$186,A10)</f>
        <v>11</v>
      </c>
      <c r="C10" s="10" t="n">
        <f aca="false">COUNTIFS(ソードスキル一覧!$A$2:$A$186,A10,ソードスキル一覧!$I$2:$I$186,"ゲーム出典")</f>
        <v>10</v>
      </c>
    </row>
    <row r="11" customFormat="false" ht="15" hidden="false" customHeight="true" outlineLevel="0" collapsed="false">
      <c r="A11" s="22" t="s">
        <v>458</v>
      </c>
      <c r="B11" s="10" t="n">
        <f aca="false">COUNTIF(ソードスキル一覧!$A$2:$A$186,A11)</f>
        <v>1</v>
      </c>
      <c r="C11" s="10" t="n">
        <f aca="false">COUNTIFS(ソードスキル一覧!$A$2:$A$186,A11,ソードスキル一覧!$I$2:$I$186,"ゲーム出典")</f>
        <v>0</v>
      </c>
    </row>
    <row r="12" customFormat="false" ht="15" hidden="false" customHeight="true" outlineLevel="0" collapsed="false">
      <c r="A12" s="22" t="s">
        <v>463</v>
      </c>
      <c r="B12" s="10" t="n">
        <f aca="false">COUNTIF(ソードスキル一覧!$A$2:$A$186,A12)</f>
        <v>5</v>
      </c>
      <c r="C12" s="10" t="n">
        <f aca="false">COUNTIFS(ソードスキル一覧!$A$2:$A$186,A12,ソードスキル一覧!$I$2:$I$186,"ゲーム出典")</f>
        <v>0</v>
      </c>
    </row>
    <row r="13" customFormat="false" ht="15" hidden="false" customHeight="true" outlineLevel="0" collapsed="false">
      <c r="A13" s="22" t="s">
        <v>486</v>
      </c>
      <c r="B13" s="10" t="n">
        <f aca="false">COUNTIF(ソードスキル一覧!$A$2:$A$186,A13)</f>
        <v>12</v>
      </c>
      <c r="C13" s="10" t="n">
        <f aca="false">COUNTIFS(ソードスキル一覧!$A$2:$A$186,A13,ソードスキル一覧!$I$2:$I$186,"ゲーム出典")</f>
        <v>5</v>
      </c>
    </row>
    <row r="14" customFormat="false" ht="15" hidden="false" customHeight="true" outlineLevel="0" collapsed="false">
      <c r="A14" s="22" t="s">
        <v>521</v>
      </c>
      <c r="B14" s="10" t="n">
        <f aca="false">COUNTIF(ソードスキル一覧!$A$2:$A$186,A14)</f>
        <v>1</v>
      </c>
      <c r="C14" s="10" t="n">
        <f aca="false">COUNTIFS(ソードスキル一覧!$A$2:$A$186,A14,ソードスキル一覧!$I$2:$I$186,"ゲーム出典")</f>
        <v>0</v>
      </c>
    </row>
    <row r="15" customFormat="false" ht="15" hidden="false" customHeight="true" outlineLevel="0" collapsed="false">
      <c r="A15" s="22" t="s">
        <v>526</v>
      </c>
      <c r="B15" s="10" t="n">
        <f aca="false">COUNTIF(ソードスキル一覧!$A$2:$A$186,A15)</f>
        <v>14</v>
      </c>
      <c r="C15" s="10" t="n">
        <f aca="false">COUNTIFS(ソードスキル一覧!$A$2:$A$186,A15,ソードスキル一覧!$I$2:$I$186,"ゲーム出典")</f>
        <v>10</v>
      </c>
    </row>
    <row r="16" customFormat="false" ht="15" hidden="false" customHeight="true" outlineLevel="0" collapsed="false">
      <c r="A16" s="22" t="s">
        <v>569</v>
      </c>
      <c r="B16" s="10" t="n">
        <f aca="false">COUNTIF(ソードスキル一覧!$A$2:$A$186,A16)</f>
        <v>1</v>
      </c>
      <c r="C16" s="10" t="n">
        <f aca="false">COUNTIFS(ソードスキル一覧!$A$2:$A$186,A16,ソードスキル一覧!$I$2:$I$186,"ゲーム出典")</f>
        <v>0</v>
      </c>
    </row>
    <row r="17" customFormat="false" ht="15" hidden="false" customHeight="true" outlineLevel="0" collapsed="false">
      <c r="A17" s="22" t="s">
        <v>574</v>
      </c>
      <c r="B17" s="10" t="n">
        <f aca="false">COUNTIF(ソードスキル一覧!$A$2:$A$186,A17)</f>
        <v>2</v>
      </c>
      <c r="C17" s="10" t="n">
        <f aca="false">COUNTIFS(ソードスキル一覧!$A$2:$A$186,A17,ソードスキル一覧!$I$2:$I$186,"ゲーム出典")</f>
        <v>0</v>
      </c>
    </row>
    <row r="18" customFormat="false" ht="15" hidden="false" customHeight="true" outlineLevel="0" collapsed="false">
      <c r="A18" s="23" t="s">
        <v>590</v>
      </c>
      <c r="B18" s="24" t="n">
        <f aca="false">SUM(B2:B17)</f>
        <v>185</v>
      </c>
      <c r="C18" s="24" t="n">
        <f aca="false">SUM(C2:C17)</f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25" t="s">
        <v>591</v>
      </c>
    </row>
    <row r="2" customFormat="false" ht="15" hidden="false" customHeight="false" outlineLevel="0" collapsed="false">
      <c r="A2" s="26" t="s">
        <v>592</v>
      </c>
      <c r="B2" s="26" t="s">
        <v>593</v>
      </c>
      <c r="C2" s="26" t="s">
        <v>594</v>
      </c>
      <c r="D2" s="26" t="s">
        <v>595</v>
      </c>
      <c r="E2" s="26" t="s">
        <v>596</v>
      </c>
      <c r="F2" s="26" t="s">
        <v>597</v>
      </c>
      <c r="G2" s="27" t="s">
        <v>598</v>
      </c>
    </row>
    <row r="3" customFormat="false" ht="29.85" hidden="false" customHeight="false" outlineLevel="0" collapsed="false">
      <c r="A3" s="28" t="s">
        <v>599</v>
      </c>
      <c r="B3" s="28" t="s">
        <v>600</v>
      </c>
      <c r="C3" s="28" t="s">
        <v>601</v>
      </c>
      <c r="D3" s="29" t="s">
        <v>602</v>
      </c>
      <c r="E3" s="28" t="s">
        <v>603</v>
      </c>
      <c r="F3" s="28" t="s">
        <v>604</v>
      </c>
      <c r="G3" s="28" t="s">
        <v>605</v>
      </c>
    </row>
    <row r="4" customFormat="false" ht="15" hidden="false" customHeight="false" outlineLevel="0" collapsed="false">
      <c r="A4" s="28" t="s">
        <v>599</v>
      </c>
      <c r="B4" s="28" t="s">
        <v>230</v>
      </c>
      <c r="C4" s="28" t="s">
        <v>606</v>
      </c>
      <c r="D4" s="29" t="s">
        <v>602</v>
      </c>
      <c r="E4" s="28" t="s">
        <v>607</v>
      </c>
      <c r="F4" s="28" t="s">
        <v>71</v>
      </c>
      <c r="G4" s="28" t="s">
        <v>608</v>
      </c>
    </row>
    <row r="5" customFormat="false" ht="29.85" hidden="false" customHeight="false" outlineLevel="0" collapsed="false">
      <c r="A5" s="28" t="s">
        <v>599</v>
      </c>
      <c r="B5" s="28" t="s">
        <v>609</v>
      </c>
      <c r="C5" s="28" t="s">
        <v>610</v>
      </c>
      <c r="D5" s="29" t="s">
        <v>602</v>
      </c>
      <c r="E5" s="28" t="s">
        <v>611</v>
      </c>
      <c r="F5" s="28" t="s">
        <v>78</v>
      </c>
      <c r="G5" s="28" t="s">
        <v>612</v>
      </c>
    </row>
    <row r="6" customFormat="false" ht="29.85" hidden="false" customHeight="false" outlineLevel="0" collapsed="false">
      <c r="A6" s="28" t="s">
        <v>599</v>
      </c>
      <c r="B6" s="28" t="s">
        <v>183</v>
      </c>
      <c r="C6" s="28" t="s">
        <v>613</v>
      </c>
      <c r="D6" s="29" t="s">
        <v>602</v>
      </c>
      <c r="E6" s="28" t="s">
        <v>614</v>
      </c>
      <c r="F6" s="28" t="s">
        <v>615</v>
      </c>
      <c r="G6" s="28" t="s">
        <v>616</v>
      </c>
    </row>
    <row r="7" customFormat="false" ht="29.85" hidden="false" customHeight="false" outlineLevel="0" collapsed="false">
      <c r="A7" s="28" t="s">
        <v>599</v>
      </c>
      <c r="B7" s="28" t="s">
        <v>617</v>
      </c>
      <c r="C7" s="28" t="s">
        <v>618</v>
      </c>
      <c r="D7" s="29" t="s">
        <v>602</v>
      </c>
      <c r="E7" s="28" t="s">
        <v>619</v>
      </c>
      <c r="F7" s="28" t="s">
        <v>71</v>
      </c>
      <c r="G7" s="28" t="s">
        <v>620</v>
      </c>
    </row>
    <row r="8" customFormat="false" ht="29.85" hidden="false" customHeight="false" outlineLevel="0" collapsed="false">
      <c r="A8" s="28" t="s">
        <v>599</v>
      </c>
      <c r="B8" s="28" t="s">
        <v>394</v>
      </c>
      <c r="C8" s="28" t="s">
        <v>621</v>
      </c>
      <c r="D8" s="29" t="s">
        <v>602</v>
      </c>
      <c r="E8" s="28" t="s">
        <v>622</v>
      </c>
      <c r="F8" s="28" t="s">
        <v>171</v>
      </c>
      <c r="G8" s="28" t="s">
        <v>623</v>
      </c>
    </row>
    <row r="9" customFormat="false" ht="29.85" hidden="false" customHeight="false" outlineLevel="0" collapsed="false">
      <c r="A9" s="28" t="s">
        <v>599</v>
      </c>
      <c r="B9" s="28" t="s">
        <v>351</v>
      </c>
      <c r="C9" s="28" t="s">
        <v>624</v>
      </c>
      <c r="D9" s="29" t="s">
        <v>602</v>
      </c>
      <c r="E9" s="28" t="s">
        <v>625</v>
      </c>
      <c r="F9" s="28" t="s">
        <v>78</v>
      </c>
      <c r="G9" s="28" t="s">
        <v>626</v>
      </c>
    </row>
    <row r="10" customFormat="false" ht="15" hidden="false" customHeight="false" outlineLevel="0" collapsed="false">
      <c r="A10" s="28" t="s">
        <v>599</v>
      </c>
      <c r="B10" s="28" t="s">
        <v>627</v>
      </c>
      <c r="C10" s="28" t="s">
        <v>628</v>
      </c>
      <c r="D10" s="29" t="s">
        <v>602</v>
      </c>
      <c r="E10" s="28" t="s">
        <v>629</v>
      </c>
      <c r="F10" s="28" t="s">
        <v>71</v>
      </c>
      <c r="G10" s="28" t="s">
        <v>630</v>
      </c>
    </row>
    <row r="11" customFormat="false" ht="15" hidden="false" customHeight="false" outlineLevel="0" collapsed="false">
      <c r="A11" s="28" t="s">
        <v>599</v>
      </c>
      <c r="B11" s="28" t="s">
        <v>631</v>
      </c>
      <c r="C11" s="28" t="s">
        <v>632</v>
      </c>
      <c r="D11" s="29" t="s">
        <v>602</v>
      </c>
      <c r="E11" s="28" t="s">
        <v>629</v>
      </c>
      <c r="F11" s="28" t="s">
        <v>71</v>
      </c>
      <c r="G11" s="28" t="s">
        <v>633</v>
      </c>
    </row>
    <row r="12" customFormat="false" ht="15" hidden="false" customHeight="false" outlineLevel="0" collapsed="false">
      <c r="A12" s="28" t="s">
        <v>599</v>
      </c>
      <c r="B12" s="28" t="s">
        <v>634</v>
      </c>
      <c r="C12" s="28" t="s">
        <v>635</v>
      </c>
      <c r="D12" s="29" t="s">
        <v>602</v>
      </c>
      <c r="E12" s="28" t="s">
        <v>636</v>
      </c>
      <c r="F12" s="28" t="s">
        <v>78</v>
      </c>
      <c r="G12" s="28" t="s">
        <v>637</v>
      </c>
    </row>
    <row r="13" customFormat="false" ht="29.85" hidden="false" customHeight="false" outlineLevel="0" collapsed="false">
      <c r="A13" s="28" t="s">
        <v>638</v>
      </c>
      <c r="B13" s="28" t="s">
        <v>639</v>
      </c>
      <c r="C13" s="28" t="s">
        <v>640</v>
      </c>
      <c r="D13" s="29" t="s">
        <v>602</v>
      </c>
      <c r="E13" s="28" t="s">
        <v>641</v>
      </c>
      <c r="F13" s="28" t="s">
        <v>78</v>
      </c>
      <c r="G13" s="28" t="s">
        <v>642</v>
      </c>
    </row>
    <row r="14" customFormat="false" ht="29.85" hidden="false" customHeight="false" outlineLevel="0" collapsed="false">
      <c r="A14" s="28" t="s">
        <v>638</v>
      </c>
      <c r="B14" s="28" t="s">
        <v>643</v>
      </c>
      <c r="C14" s="28" t="s">
        <v>644</v>
      </c>
      <c r="D14" s="29" t="s">
        <v>602</v>
      </c>
      <c r="E14" s="28" t="s">
        <v>614</v>
      </c>
      <c r="F14" s="28" t="s">
        <v>78</v>
      </c>
      <c r="G14" s="28" t="s">
        <v>645</v>
      </c>
    </row>
    <row r="15" customFormat="false" ht="15" hidden="false" customHeight="false" outlineLevel="0" collapsed="false">
      <c r="A15" s="28" t="s">
        <v>638</v>
      </c>
      <c r="B15" s="28" t="s">
        <v>646</v>
      </c>
      <c r="C15" s="28" t="s">
        <v>647</v>
      </c>
      <c r="D15" s="29" t="s">
        <v>602</v>
      </c>
      <c r="E15" s="28" t="s">
        <v>629</v>
      </c>
      <c r="F15" s="28" t="s">
        <v>71</v>
      </c>
      <c r="G15" s="28" t="s">
        <v>648</v>
      </c>
    </row>
    <row r="16" customFormat="false" ht="15" hidden="false" customHeight="false" outlineLevel="0" collapsed="false">
      <c r="A16" s="28" t="s">
        <v>638</v>
      </c>
      <c r="B16" s="28" t="s">
        <v>649</v>
      </c>
      <c r="C16" s="28" t="s">
        <v>650</v>
      </c>
      <c r="D16" s="29" t="s">
        <v>602</v>
      </c>
      <c r="E16" s="28" t="s">
        <v>629</v>
      </c>
      <c r="F16" s="28" t="s">
        <v>71</v>
      </c>
      <c r="G16" s="28" t="s">
        <v>651</v>
      </c>
    </row>
    <row r="17" customFormat="false" ht="29.85" hidden="false" customHeight="false" outlineLevel="0" collapsed="false">
      <c r="A17" s="28" t="s">
        <v>638</v>
      </c>
      <c r="B17" s="28" t="s">
        <v>652</v>
      </c>
      <c r="C17" s="28" t="s">
        <v>653</v>
      </c>
      <c r="D17" s="29" t="s">
        <v>602</v>
      </c>
      <c r="E17" s="11" t="s">
        <v>654</v>
      </c>
      <c r="F17" s="28" t="s">
        <v>78</v>
      </c>
      <c r="G17" s="28" t="s">
        <v>655</v>
      </c>
    </row>
    <row r="18" customFormat="false" ht="29.85" hidden="false" customHeight="false" outlineLevel="0" collapsed="false">
      <c r="A18" s="28" t="s">
        <v>656</v>
      </c>
      <c r="B18" s="28" t="s">
        <v>657</v>
      </c>
      <c r="C18" s="28" t="s">
        <v>658</v>
      </c>
      <c r="D18" s="29" t="s">
        <v>602</v>
      </c>
      <c r="E18" s="28" t="s">
        <v>659</v>
      </c>
      <c r="F18" s="28" t="s">
        <v>171</v>
      </c>
      <c r="G18" s="28" t="s">
        <v>660</v>
      </c>
    </row>
    <row r="19" customFormat="false" ht="15" hidden="false" customHeight="false" outlineLevel="0" collapsed="false">
      <c r="A19" s="28" t="s">
        <v>656</v>
      </c>
      <c r="B19" s="28" t="s">
        <v>661</v>
      </c>
      <c r="C19" s="28" t="s">
        <v>662</v>
      </c>
      <c r="D19" s="29" t="s">
        <v>602</v>
      </c>
      <c r="E19" s="11" t="s">
        <v>663</v>
      </c>
      <c r="F19" s="28" t="s">
        <v>664</v>
      </c>
      <c r="G19" s="28" t="s">
        <v>665</v>
      </c>
    </row>
    <row r="20" customFormat="false" ht="29.85" hidden="false" customHeight="false" outlineLevel="0" collapsed="false">
      <c r="A20" s="28" t="s">
        <v>656</v>
      </c>
      <c r="B20" s="28" t="s">
        <v>521</v>
      </c>
      <c r="C20" s="28" t="s">
        <v>666</v>
      </c>
      <c r="D20" s="29" t="s">
        <v>602</v>
      </c>
      <c r="E20" s="28" t="s">
        <v>667</v>
      </c>
      <c r="F20" s="28" t="s">
        <v>482</v>
      </c>
      <c r="G20" s="28" t="s">
        <v>668</v>
      </c>
    </row>
    <row r="21" customFormat="false" ht="29.85" hidden="false" customHeight="false" outlineLevel="0" collapsed="false">
      <c r="A21" s="28" t="s">
        <v>669</v>
      </c>
      <c r="B21" s="28" t="s">
        <v>458</v>
      </c>
      <c r="C21" s="28" t="s">
        <v>670</v>
      </c>
      <c r="D21" s="29" t="s">
        <v>602</v>
      </c>
      <c r="E21" s="28" t="s">
        <v>671</v>
      </c>
      <c r="F21" s="28" t="s">
        <v>212</v>
      </c>
      <c r="G21" s="28" t="s">
        <v>672</v>
      </c>
    </row>
    <row r="22" customFormat="false" ht="29.85" hidden="false" customHeight="false" outlineLevel="0" collapsed="false">
      <c r="A22" s="28" t="s">
        <v>638</v>
      </c>
      <c r="B22" s="28" t="s">
        <v>673</v>
      </c>
      <c r="C22" s="28" t="s">
        <v>674</v>
      </c>
      <c r="D22" s="16" t="s">
        <v>675</v>
      </c>
      <c r="E22" s="28" t="s">
        <v>676</v>
      </c>
      <c r="F22" s="28" t="s">
        <v>78</v>
      </c>
      <c r="G22" s="28" t="s">
        <v>677</v>
      </c>
    </row>
    <row r="23" customFormat="false" ht="15" hidden="false" customHeight="false" outlineLevel="0" collapsed="false">
      <c r="A23" s="28" t="s">
        <v>669</v>
      </c>
      <c r="B23" s="28" t="s">
        <v>678</v>
      </c>
      <c r="C23" s="28" t="s">
        <v>679</v>
      </c>
      <c r="D23" s="16" t="s">
        <v>675</v>
      </c>
      <c r="E23" s="28" t="s">
        <v>680</v>
      </c>
      <c r="F23" s="28" t="s">
        <v>681</v>
      </c>
      <c r="G23" s="28" t="s">
        <v>682</v>
      </c>
    </row>
    <row r="24" customFormat="false" ht="29.85" hidden="false" customHeight="false" outlineLevel="0" collapsed="false">
      <c r="A24" s="28" t="s">
        <v>656</v>
      </c>
      <c r="B24" s="28" t="s">
        <v>683</v>
      </c>
      <c r="C24" s="28" t="s">
        <v>684</v>
      </c>
      <c r="D24" s="16" t="s">
        <v>675</v>
      </c>
      <c r="E24" s="11" t="s">
        <v>685</v>
      </c>
      <c r="F24" s="28" t="s">
        <v>686</v>
      </c>
      <c r="G24" s="28" t="s">
        <v>687</v>
      </c>
    </row>
    <row r="25" customFormat="false" ht="15" hidden="false" customHeight="false" outlineLevel="0" collapsed="false">
      <c r="A25" s="28" t="s">
        <v>599</v>
      </c>
      <c r="B25" s="28" t="s">
        <v>688</v>
      </c>
      <c r="C25" s="28" t="s">
        <v>689</v>
      </c>
      <c r="D25" s="17" t="s">
        <v>690</v>
      </c>
      <c r="E25" s="28" t="s">
        <v>691</v>
      </c>
      <c r="F25" s="28" t="s">
        <v>171</v>
      </c>
      <c r="G25" s="28" t="s">
        <v>692</v>
      </c>
    </row>
    <row r="26" customFormat="false" ht="15" hidden="false" customHeight="false" outlineLevel="0" collapsed="false">
      <c r="A26" s="28" t="s">
        <v>599</v>
      </c>
      <c r="B26" s="28" t="s">
        <v>693</v>
      </c>
      <c r="C26" s="28" t="s">
        <v>694</v>
      </c>
      <c r="D26" s="17" t="s">
        <v>690</v>
      </c>
      <c r="E26" s="28" t="s">
        <v>695</v>
      </c>
      <c r="F26" s="28" t="s">
        <v>696</v>
      </c>
      <c r="G26" s="28" t="s">
        <v>697</v>
      </c>
    </row>
    <row r="27" customFormat="false" ht="15" hidden="false" customHeight="false" outlineLevel="0" collapsed="false">
      <c r="A27" s="28" t="s">
        <v>599</v>
      </c>
      <c r="B27" s="28" t="s">
        <v>698</v>
      </c>
      <c r="C27" s="28" t="s">
        <v>699</v>
      </c>
      <c r="D27" s="17" t="s">
        <v>690</v>
      </c>
      <c r="E27" s="28" t="s">
        <v>700</v>
      </c>
      <c r="F27" s="28" t="s">
        <v>686</v>
      </c>
      <c r="G27" s="28" t="s">
        <v>701</v>
      </c>
    </row>
    <row r="28" customFormat="false" ht="29.85" hidden="false" customHeight="false" outlineLevel="0" collapsed="false">
      <c r="A28" s="28" t="s">
        <v>599</v>
      </c>
      <c r="B28" s="28" t="s">
        <v>702</v>
      </c>
      <c r="C28" s="28" t="s">
        <v>703</v>
      </c>
      <c r="D28" s="19" t="s">
        <v>704</v>
      </c>
      <c r="E28" s="28" t="s">
        <v>705</v>
      </c>
      <c r="F28" s="28" t="s">
        <v>706</v>
      </c>
      <c r="G28" s="28" t="s">
        <v>707</v>
      </c>
    </row>
    <row r="29" customFormat="false" ht="29.85" hidden="false" customHeight="false" outlineLevel="0" collapsed="false">
      <c r="A29" s="28" t="s">
        <v>638</v>
      </c>
      <c r="B29" s="28" t="s">
        <v>708</v>
      </c>
      <c r="C29" s="28" t="s">
        <v>709</v>
      </c>
      <c r="D29" s="17" t="s">
        <v>690</v>
      </c>
      <c r="E29" s="28" t="s">
        <v>710</v>
      </c>
      <c r="F29" s="28" t="s">
        <v>604</v>
      </c>
      <c r="G29" s="28" t="s">
        <v>711</v>
      </c>
    </row>
    <row r="30" customFormat="false" ht="29.85" hidden="false" customHeight="false" outlineLevel="0" collapsed="false">
      <c r="A30" s="28" t="s">
        <v>638</v>
      </c>
      <c r="B30" s="28" t="s">
        <v>712</v>
      </c>
      <c r="C30" s="28" t="s">
        <v>713</v>
      </c>
      <c r="D30" s="17" t="s">
        <v>690</v>
      </c>
      <c r="E30" s="28" t="s">
        <v>714</v>
      </c>
      <c r="F30" s="28" t="s">
        <v>78</v>
      </c>
      <c r="G30" s="28" t="s">
        <v>715</v>
      </c>
    </row>
    <row r="31" customFormat="false" ht="29.85" hidden="false" customHeight="false" outlineLevel="0" collapsed="false">
      <c r="A31" s="28" t="s">
        <v>638</v>
      </c>
      <c r="B31" s="28" t="s">
        <v>716</v>
      </c>
      <c r="C31" s="28" t="s">
        <v>717</v>
      </c>
      <c r="D31" s="17" t="s">
        <v>690</v>
      </c>
      <c r="E31" s="28" t="s">
        <v>718</v>
      </c>
      <c r="F31" s="28" t="s">
        <v>171</v>
      </c>
      <c r="G31" s="28" t="s">
        <v>719</v>
      </c>
    </row>
    <row r="32" customFormat="false" ht="29.85" hidden="false" customHeight="false" outlineLevel="0" collapsed="false">
      <c r="A32" s="28" t="s">
        <v>638</v>
      </c>
      <c r="B32" s="28" t="s">
        <v>720</v>
      </c>
      <c r="C32" s="28" t="s">
        <v>721</v>
      </c>
      <c r="D32" s="17" t="s">
        <v>690</v>
      </c>
      <c r="E32" s="28" t="s">
        <v>722</v>
      </c>
      <c r="F32" s="28" t="s">
        <v>171</v>
      </c>
      <c r="G32" s="28" t="s">
        <v>723</v>
      </c>
    </row>
    <row r="33" customFormat="false" ht="29.85" hidden="false" customHeight="false" outlineLevel="0" collapsed="false">
      <c r="A33" s="28" t="s">
        <v>638</v>
      </c>
      <c r="B33" s="28" t="s">
        <v>724</v>
      </c>
      <c r="C33" s="28" t="s">
        <v>725</v>
      </c>
      <c r="D33" s="19" t="s">
        <v>704</v>
      </c>
      <c r="E33" s="28" t="s">
        <v>726</v>
      </c>
      <c r="F33" s="28" t="s">
        <v>78</v>
      </c>
      <c r="G33" s="28" t="s">
        <v>727</v>
      </c>
    </row>
    <row r="34" customFormat="false" ht="29.85" hidden="false" customHeight="false" outlineLevel="0" collapsed="false">
      <c r="A34" s="28" t="s">
        <v>638</v>
      </c>
      <c r="B34" s="28" t="s">
        <v>728</v>
      </c>
      <c r="C34" s="28" t="s">
        <v>728</v>
      </c>
      <c r="D34" s="19" t="s">
        <v>704</v>
      </c>
      <c r="E34" s="28" t="s">
        <v>729</v>
      </c>
      <c r="F34" s="28" t="s">
        <v>78</v>
      </c>
      <c r="G34" s="28" t="s">
        <v>730</v>
      </c>
    </row>
    <row r="35" customFormat="false" ht="15" hidden="false" customHeight="false" outlineLevel="0" collapsed="false">
      <c r="A35" s="28" t="s">
        <v>656</v>
      </c>
      <c r="B35" s="28" t="s">
        <v>731</v>
      </c>
      <c r="C35" s="28" t="s">
        <v>732</v>
      </c>
      <c r="D35" s="19" t="s">
        <v>704</v>
      </c>
      <c r="E35" s="28" t="s">
        <v>733</v>
      </c>
      <c r="F35" s="28" t="s">
        <v>171</v>
      </c>
      <c r="G35" s="28" t="s">
        <v>734</v>
      </c>
    </row>
    <row r="36" customFormat="false" ht="15" hidden="false" customHeight="false" outlineLevel="0" collapsed="false">
      <c r="A36" s="28" t="s">
        <v>656</v>
      </c>
      <c r="B36" s="28" t="s">
        <v>735</v>
      </c>
      <c r="C36" s="28" t="s">
        <v>736</v>
      </c>
      <c r="D36" s="19" t="s">
        <v>704</v>
      </c>
      <c r="E36" s="28" t="s">
        <v>737</v>
      </c>
      <c r="F36" s="28" t="s">
        <v>686</v>
      </c>
      <c r="G36" s="28" t="s">
        <v>738</v>
      </c>
    </row>
    <row r="37" customFormat="false" ht="15" hidden="false" customHeight="false" outlineLevel="0" collapsed="false">
      <c r="A37" s="28" t="s">
        <v>656</v>
      </c>
      <c r="B37" s="28" t="s">
        <v>739</v>
      </c>
      <c r="C37" s="28" t="s">
        <v>740</v>
      </c>
      <c r="D37" s="19" t="s">
        <v>704</v>
      </c>
      <c r="E37" s="28" t="s">
        <v>741</v>
      </c>
      <c r="F37" s="28" t="s">
        <v>742</v>
      </c>
      <c r="G37" s="28" t="s">
        <v>743</v>
      </c>
    </row>
    <row r="38" customFormat="false" ht="29.85" hidden="false" customHeight="false" outlineLevel="0" collapsed="false">
      <c r="A38" s="28" t="s">
        <v>656</v>
      </c>
      <c r="B38" s="28" t="s">
        <v>744</v>
      </c>
      <c r="C38" s="28" t="s">
        <v>745</v>
      </c>
      <c r="D38" s="17" t="s">
        <v>690</v>
      </c>
      <c r="E38" s="28" t="s">
        <v>746</v>
      </c>
      <c r="F38" s="28" t="s">
        <v>747</v>
      </c>
      <c r="G38" s="28" t="s">
        <v>748</v>
      </c>
    </row>
    <row r="39" customFormat="false" ht="29.85" hidden="false" customHeight="false" outlineLevel="0" collapsed="false">
      <c r="A39" s="28" t="s">
        <v>669</v>
      </c>
      <c r="B39" s="28" t="s">
        <v>749</v>
      </c>
      <c r="C39" s="28" t="s">
        <v>750</v>
      </c>
      <c r="D39" s="16" t="s">
        <v>675</v>
      </c>
      <c r="E39" s="28" t="s">
        <v>751</v>
      </c>
      <c r="F39" s="28" t="s">
        <v>212</v>
      </c>
      <c r="G39" s="28" t="s">
        <v>752</v>
      </c>
    </row>
    <row r="40" customFormat="false" ht="15" hidden="false" customHeight="false" outlineLevel="0" collapsed="false">
      <c r="A40" s="28" t="s">
        <v>669</v>
      </c>
      <c r="B40" s="28" t="s">
        <v>753</v>
      </c>
      <c r="C40" s="28" t="s">
        <v>754</v>
      </c>
      <c r="D40" s="17" t="s">
        <v>690</v>
      </c>
      <c r="E40" s="28" t="s">
        <v>755</v>
      </c>
      <c r="F40" s="28" t="s">
        <v>681</v>
      </c>
      <c r="G40" s="28" t="s">
        <v>756</v>
      </c>
    </row>
    <row r="41" customFormat="false" ht="15" hidden="false" customHeight="false" outlineLevel="0" collapsed="false">
      <c r="A41" s="28" t="s">
        <v>669</v>
      </c>
      <c r="B41" s="28" t="s">
        <v>757</v>
      </c>
      <c r="C41" s="28" t="s">
        <v>758</v>
      </c>
      <c r="D41" s="17" t="s">
        <v>690</v>
      </c>
      <c r="E41" s="28" t="s">
        <v>759</v>
      </c>
      <c r="F41" s="28" t="s">
        <v>760</v>
      </c>
      <c r="G41" s="28" t="s">
        <v>761</v>
      </c>
    </row>
    <row r="42" customFormat="false" ht="29.85" hidden="false" customHeight="false" outlineLevel="0" collapsed="false">
      <c r="A42" s="28" t="s">
        <v>669</v>
      </c>
      <c r="B42" s="28" t="s">
        <v>762</v>
      </c>
      <c r="C42" s="28" t="s">
        <v>763</v>
      </c>
      <c r="D42" s="19" t="s">
        <v>704</v>
      </c>
      <c r="E42" s="28" t="s">
        <v>764</v>
      </c>
      <c r="F42" s="28" t="s">
        <v>765</v>
      </c>
      <c r="G42" s="28" t="s">
        <v>766</v>
      </c>
    </row>
    <row r="43" customFormat="false" ht="29.85" hidden="false" customHeight="false" outlineLevel="0" collapsed="false">
      <c r="A43" s="28" t="s">
        <v>669</v>
      </c>
      <c r="B43" s="28" t="s">
        <v>767</v>
      </c>
      <c r="C43" s="28" t="s">
        <v>768</v>
      </c>
      <c r="D43" s="19" t="s">
        <v>704</v>
      </c>
      <c r="E43" s="28" t="s">
        <v>769</v>
      </c>
      <c r="F43" s="28" t="s">
        <v>765</v>
      </c>
      <c r="G43" s="28" t="s">
        <v>770</v>
      </c>
    </row>
    <row r="44" customFormat="false" ht="29.85" hidden="false" customHeight="false" outlineLevel="0" collapsed="false">
      <c r="A44" s="28" t="s">
        <v>771</v>
      </c>
      <c r="B44" s="28" t="s">
        <v>772</v>
      </c>
      <c r="C44" s="28" t="s">
        <v>773</v>
      </c>
      <c r="D44" s="30" t="s">
        <v>774</v>
      </c>
      <c r="E44" s="11" t="s">
        <v>775</v>
      </c>
      <c r="F44" s="28" t="s">
        <v>776</v>
      </c>
      <c r="G44" s="11" t="s">
        <v>777</v>
      </c>
    </row>
    <row r="45" customFormat="false" ht="29.85" hidden="false" customHeight="false" outlineLevel="0" collapsed="false">
      <c r="A45" s="28" t="s">
        <v>771</v>
      </c>
      <c r="B45" s="28" t="s">
        <v>778</v>
      </c>
      <c r="C45" s="28" t="s">
        <v>779</v>
      </c>
      <c r="D45" s="30" t="s">
        <v>774</v>
      </c>
      <c r="E45" s="28" t="s">
        <v>780</v>
      </c>
      <c r="F45" s="28" t="s">
        <v>776</v>
      </c>
      <c r="G45" s="28" t="s">
        <v>781</v>
      </c>
    </row>
    <row r="46" customFormat="false" ht="15" hidden="false" customHeight="false" outlineLevel="0" collapsed="false">
      <c r="A46" s="28" t="s">
        <v>771</v>
      </c>
      <c r="B46" s="28" t="s">
        <v>782</v>
      </c>
      <c r="C46" s="28" t="s">
        <v>783</v>
      </c>
      <c r="D46" s="30" t="s">
        <v>774</v>
      </c>
      <c r="E46" s="28" t="s">
        <v>784</v>
      </c>
      <c r="F46" s="28" t="s">
        <v>776</v>
      </c>
      <c r="G46" s="28" t="s">
        <v>785</v>
      </c>
    </row>
    <row r="48" customFormat="false" ht="15" hidden="false" customHeight="false" outlineLevel="0" collapsed="false">
      <c r="A48" s="6" t="s">
        <v>786</v>
      </c>
    </row>
    <row r="49" customFormat="false" ht="15" hidden="false" customHeight="false" outlineLevel="0" collapsed="false">
      <c r="A49" s="31" t="s">
        <v>602</v>
      </c>
      <c r="B49" s="31" t="n">
        <f aca="false">COUNTIF($D$3:$D$46,"◎")</f>
        <v>19</v>
      </c>
    </row>
    <row r="50" customFormat="false" ht="15" hidden="false" customHeight="false" outlineLevel="0" collapsed="false">
      <c r="A50" s="31" t="s">
        <v>675</v>
      </c>
      <c r="B50" s="31" t="n">
        <f aca="false">COUNTIF($D$3:$D$46,"◯")</f>
        <v>4</v>
      </c>
    </row>
    <row r="51" customFormat="false" ht="15" hidden="false" customHeight="false" outlineLevel="0" collapsed="false">
      <c r="A51" s="31" t="s">
        <v>690</v>
      </c>
      <c r="B51" s="31" t="n">
        <f aca="false">COUNTIF($D$3:$D$46,"△")</f>
        <v>10</v>
      </c>
    </row>
    <row r="52" customFormat="false" ht="15" hidden="false" customHeight="false" outlineLevel="0" collapsed="false">
      <c r="A52" s="31" t="s">
        <v>704</v>
      </c>
      <c r="B52" s="31" t="n">
        <f aca="false">COUNTIF($D$3:$D$46,"▲")</f>
        <v>8</v>
      </c>
    </row>
    <row r="53" customFormat="false" ht="15" hidden="false" customHeight="false" outlineLevel="0" collapsed="false">
      <c r="A53" s="31" t="s">
        <v>774</v>
      </c>
      <c r="B53" s="31" t="n">
        <f aca="false">COUNTIF($D$3:$D$46,"✕")</f>
        <v>3</v>
      </c>
    </row>
    <row r="54" customFormat="false" ht="15" hidden="false" customHeight="false" outlineLevel="0" collapsed="false">
      <c r="A54" s="6" t="s">
        <v>590</v>
      </c>
      <c r="B54" s="6" t="n">
        <f aca="false">SUM(B49:B53)</f>
        <v>44</v>
      </c>
    </row>
  </sheetData>
  <autoFilter ref="A2:G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6" min="5" style="1" width="9"/>
    <col collapsed="false" customWidth="true" hidden="false" outlineLevel="0" max="7" min="7" style="1" width="58"/>
    <col collapsed="false" customWidth="true" hidden="false" outlineLevel="0" max="8" min="8" style="1" width="16"/>
    <col collapsed="false" customWidth="true" hidden="false" outlineLevel="0" max="9" min="9" style="1" width="42"/>
  </cols>
  <sheetData>
    <row r="1" customFormat="false" ht="29.25" hidden="false" customHeight="true" outlineLevel="0" collapsed="false">
      <c r="A1" s="32" t="s">
        <v>787</v>
      </c>
      <c r="B1" s="32" t="s">
        <v>27</v>
      </c>
      <c r="C1" s="32" t="s">
        <v>29</v>
      </c>
      <c r="D1" s="32" t="s">
        <v>788</v>
      </c>
      <c r="E1" s="32" t="s">
        <v>31</v>
      </c>
      <c r="F1" s="32" t="s">
        <v>789</v>
      </c>
      <c r="G1" s="32" t="s">
        <v>790</v>
      </c>
      <c r="H1" s="32" t="s">
        <v>791</v>
      </c>
      <c r="I1" s="32" t="s">
        <v>36</v>
      </c>
    </row>
    <row r="2" customFormat="false" ht="15" hidden="false" customHeight="true" outlineLevel="0" collapsed="false">
      <c r="A2" s="9" t="s">
        <v>792</v>
      </c>
      <c r="B2" s="9" t="s">
        <v>183</v>
      </c>
      <c r="C2" s="9" t="s">
        <v>793</v>
      </c>
      <c r="D2" s="12" t="s">
        <v>71</v>
      </c>
      <c r="E2" s="10" t="n">
        <v>1</v>
      </c>
      <c r="F2" s="10" t="n">
        <v>100</v>
      </c>
      <c r="G2" s="11" t="s">
        <v>794</v>
      </c>
      <c r="H2" s="33" t="s">
        <v>795</v>
      </c>
      <c r="I2" s="9" t="s">
        <v>796</v>
      </c>
    </row>
    <row r="3" customFormat="false" ht="15" hidden="false" customHeight="true" outlineLevel="0" collapsed="false">
      <c r="A3" s="9" t="s">
        <v>792</v>
      </c>
      <c r="B3" s="9" t="s">
        <v>183</v>
      </c>
      <c r="C3" s="9" t="s">
        <v>190</v>
      </c>
      <c r="D3" s="12" t="s">
        <v>78</v>
      </c>
      <c r="E3" s="10" t="n">
        <v>2</v>
      </c>
      <c r="F3" s="10" t="n">
        <v>100</v>
      </c>
      <c r="G3" s="11" t="s">
        <v>797</v>
      </c>
      <c r="H3" s="33" t="s">
        <v>795</v>
      </c>
      <c r="I3" s="11"/>
    </row>
    <row r="4" customFormat="false" ht="15" hidden="false" customHeight="true" outlineLevel="0" collapsed="false">
      <c r="A4" s="9" t="s">
        <v>792</v>
      </c>
      <c r="B4" s="9" t="s">
        <v>183</v>
      </c>
      <c r="C4" s="9" t="s">
        <v>198</v>
      </c>
      <c r="D4" s="12" t="s">
        <v>78</v>
      </c>
      <c r="E4" s="10" t="n">
        <v>2</v>
      </c>
      <c r="F4" s="10" t="n">
        <v>100</v>
      </c>
      <c r="G4" s="11" t="s">
        <v>798</v>
      </c>
      <c r="H4" s="33" t="s">
        <v>795</v>
      </c>
      <c r="I4" s="11"/>
    </row>
    <row r="5" customFormat="false" ht="15" hidden="false" customHeight="true" outlineLevel="0" collapsed="false">
      <c r="A5" s="9" t="s">
        <v>792</v>
      </c>
      <c r="B5" s="9" t="s">
        <v>183</v>
      </c>
      <c r="C5" s="9" t="s">
        <v>196</v>
      </c>
      <c r="D5" s="12" t="s">
        <v>78</v>
      </c>
      <c r="E5" s="10" t="n">
        <v>2</v>
      </c>
      <c r="F5" s="10" t="n">
        <v>100</v>
      </c>
      <c r="G5" s="11" t="s">
        <v>799</v>
      </c>
      <c r="H5" s="33" t="s">
        <v>795</v>
      </c>
      <c r="I5" s="11"/>
    </row>
    <row r="6" customFormat="false" ht="15" hidden="false" customHeight="true" outlineLevel="0" collapsed="false">
      <c r="A6" s="9" t="s">
        <v>792</v>
      </c>
      <c r="B6" s="9" t="s">
        <v>183</v>
      </c>
      <c r="C6" s="9" t="s">
        <v>192</v>
      </c>
      <c r="D6" s="12" t="s">
        <v>71</v>
      </c>
      <c r="E6" s="10" t="n">
        <v>2</v>
      </c>
      <c r="F6" s="10" t="n">
        <v>100</v>
      </c>
      <c r="G6" s="11" t="s">
        <v>800</v>
      </c>
      <c r="H6" s="18" t="s">
        <v>801</v>
      </c>
      <c r="I6" s="9" t="s">
        <v>802</v>
      </c>
    </row>
    <row r="7" customFormat="false" ht="15" hidden="false" customHeight="true" outlineLevel="0" collapsed="false">
      <c r="A7" s="9" t="s">
        <v>792</v>
      </c>
      <c r="B7" s="9" t="s">
        <v>183</v>
      </c>
      <c r="C7" s="9" t="s">
        <v>202</v>
      </c>
      <c r="D7" s="12" t="s">
        <v>71</v>
      </c>
      <c r="E7" s="10" t="n">
        <v>3</v>
      </c>
      <c r="F7" s="10" t="n">
        <v>100</v>
      </c>
      <c r="G7" s="11" t="s">
        <v>803</v>
      </c>
      <c r="H7" s="33" t="s">
        <v>795</v>
      </c>
      <c r="I7" s="11"/>
    </row>
    <row r="8" customFormat="false" ht="15" hidden="false" customHeight="true" outlineLevel="0" collapsed="false">
      <c r="A8" s="9" t="s">
        <v>792</v>
      </c>
      <c r="B8" s="9" t="s">
        <v>183</v>
      </c>
      <c r="C8" s="9" t="s">
        <v>206</v>
      </c>
      <c r="D8" s="12" t="s">
        <v>71</v>
      </c>
      <c r="E8" s="10" t="n">
        <v>4</v>
      </c>
      <c r="F8" s="10" t="n">
        <v>100</v>
      </c>
      <c r="G8" s="11" t="s">
        <v>804</v>
      </c>
      <c r="H8" s="18" t="s">
        <v>801</v>
      </c>
      <c r="I8" s="9" t="s">
        <v>805</v>
      </c>
    </row>
    <row r="9" customFormat="false" ht="15" hidden="false" customHeight="true" outlineLevel="0" collapsed="false">
      <c r="A9" s="9" t="s">
        <v>792</v>
      </c>
      <c r="B9" s="9" t="s">
        <v>183</v>
      </c>
      <c r="C9" s="9" t="s">
        <v>216</v>
      </c>
      <c r="D9" s="12" t="s">
        <v>71</v>
      </c>
      <c r="E9" s="10" t="n">
        <v>5</v>
      </c>
      <c r="F9" s="10" t="n">
        <v>100</v>
      </c>
      <c r="G9" s="11" t="s">
        <v>806</v>
      </c>
      <c r="H9" s="33" t="s">
        <v>795</v>
      </c>
      <c r="I9" s="11"/>
    </row>
    <row r="10" customFormat="false" ht="15" hidden="false" customHeight="true" outlineLevel="0" collapsed="false">
      <c r="A10" s="9" t="s">
        <v>792</v>
      </c>
      <c r="B10" s="9" t="s">
        <v>183</v>
      </c>
      <c r="C10" s="9" t="s">
        <v>204</v>
      </c>
      <c r="D10" s="12" t="s">
        <v>171</v>
      </c>
      <c r="E10" s="10" t="n">
        <v>3</v>
      </c>
      <c r="F10" s="10" t="n">
        <v>100</v>
      </c>
      <c r="G10" s="11" t="s">
        <v>807</v>
      </c>
      <c r="H10" s="33" t="s">
        <v>795</v>
      </c>
      <c r="I10" s="11"/>
    </row>
    <row r="11" customFormat="false" ht="15" hidden="false" customHeight="true" outlineLevel="0" collapsed="false">
      <c r="A11" s="9" t="s">
        <v>792</v>
      </c>
      <c r="B11" s="9" t="s">
        <v>183</v>
      </c>
      <c r="C11" s="9" t="s">
        <v>225</v>
      </c>
      <c r="D11" s="12" t="s">
        <v>78</v>
      </c>
      <c r="E11" s="10" t="n">
        <v>9</v>
      </c>
      <c r="F11" s="10" t="n">
        <v>100</v>
      </c>
      <c r="G11" s="11" t="s">
        <v>808</v>
      </c>
      <c r="H11" s="33" t="s">
        <v>795</v>
      </c>
      <c r="I11" s="11" t="s">
        <v>809</v>
      </c>
    </row>
    <row r="12" customFormat="false" ht="15" hidden="false" customHeight="true" outlineLevel="0" collapsed="false">
      <c r="A12" s="9" t="s">
        <v>792</v>
      </c>
      <c r="B12" s="9" t="s">
        <v>183</v>
      </c>
      <c r="C12" s="9" t="s">
        <v>223</v>
      </c>
      <c r="D12" s="12" t="s">
        <v>71</v>
      </c>
      <c r="E12" s="10" t="n">
        <v>4</v>
      </c>
      <c r="F12" s="10" t="n">
        <v>100</v>
      </c>
      <c r="G12" s="11" t="s">
        <v>810</v>
      </c>
      <c r="H12" s="33" t="s">
        <v>795</v>
      </c>
      <c r="I12" s="9" t="s">
        <v>125</v>
      </c>
    </row>
    <row r="13" customFormat="false" ht="15" hidden="false" customHeight="true" outlineLevel="0" collapsed="false">
      <c r="A13" s="9" t="s">
        <v>792</v>
      </c>
      <c r="B13" s="9" t="s">
        <v>183</v>
      </c>
      <c r="C13" s="9" t="s">
        <v>228</v>
      </c>
      <c r="D13" s="12" t="s">
        <v>71</v>
      </c>
      <c r="E13" s="10" t="n">
        <v>4</v>
      </c>
      <c r="F13" s="10" t="n">
        <v>150</v>
      </c>
      <c r="G13" s="11" t="s">
        <v>811</v>
      </c>
      <c r="H13" s="33" t="s">
        <v>795</v>
      </c>
      <c r="I13" s="11"/>
    </row>
    <row r="14" customFormat="false" ht="15" hidden="false" customHeight="true" outlineLevel="0" collapsed="false">
      <c r="A14" s="9" t="s">
        <v>792</v>
      </c>
      <c r="B14" s="9" t="s">
        <v>812</v>
      </c>
      <c r="C14" s="9" t="s">
        <v>65</v>
      </c>
      <c r="D14" s="12" t="s">
        <v>78</v>
      </c>
      <c r="E14" s="10" t="n">
        <v>1</v>
      </c>
      <c r="F14" s="10" t="n">
        <v>100</v>
      </c>
      <c r="G14" s="11" t="s">
        <v>813</v>
      </c>
      <c r="H14" s="13" t="s">
        <v>814</v>
      </c>
      <c r="I14" s="11"/>
    </row>
    <row r="15" customFormat="false" ht="15" hidden="false" customHeight="true" outlineLevel="0" collapsed="false">
      <c r="A15" s="9" t="s">
        <v>792</v>
      </c>
      <c r="B15" s="9" t="s">
        <v>812</v>
      </c>
      <c r="C15" s="9" t="s">
        <v>115</v>
      </c>
      <c r="D15" s="12" t="s">
        <v>71</v>
      </c>
      <c r="E15" s="10" t="n">
        <v>3</v>
      </c>
      <c r="F15" s="10" t="n">
        <v>100</v>
      </c>
      <c r="G15" s="11" t="s">
        <v>815</v>
      </c>
      <c r="H15" s="18" t="s">
        <v>801</v>
      </c>
      <c r="I15" s="9" t="s">
        <v>816</v>
      </c>
    </row>
    <row r="16" customFormat="false" ht="15" hidden="false" customHeight="true" outlineLevel="0" collapsed="false">
      <c r="A16" s="9" t="s">
        <v>792</v>
      </c>
      <c r="B16" s="9" t="s">
        <v>812</v>
      </c>
      <c r="C16" s="9" t="s">
        <v>49</v>
      </c>
      <c r="D16" s="12" t="s">
        <v>78</v>
      </c>
      <c r="E16" s="10" t="n">
        <v>1</v>
      </c>
      <c r="F16" s="10" t="n">
        <v>100</v>
      </c>
      <c r="G16" s="11" t="s">
        <v>817</v>
      </c>
      <c r="H16" s="13" t="s">
        <v>814</v>
      </c>
      <c r="I16" s="11"/>
    </row>
    <row r="17" customFormat="false" ht="15" hidden="false" customHeight="true" outlineLevel="0" collapsed="false">
      <c r="A17" s="9" t="s">
        <v>792</v>
      </c>
      <c r="B17" s="9" t="s">
        <v>812</v>
      </c>
      <c r="C17" s="9" t="s">
        <v>45</v>
      </c>
      <c r="D17" s="12" t="s">
        <v>78</v>
      </c>
      <c r="E17" s="10" t="n">
        <v>1</v>
      </c>
      <c r="F17" s="10" t="n">
        <v>100</v>
      </c>
      <c r="G17" s="11" t="s">
        <v>818</v>
      </c>
      <c r="H17" s="13" t="s">
        <v>814</v>
      </c>
      <c r="I17" s="11"/>
    </row>
    <row r="18" customFormat="false" ht="15" hidden="false" customHeight="true" outlineLevel="0" collapsed="false">
      <c r="A18" s="9" t="s">
        <v>792</v>
      </c>
      <c r="B18" s="9" t="s">
        <v>812</v>
      </c>
      <c r="C18" s="9" t="s">
        <v>38</v>
      </c>
      <c r="D18" s="12" t="s">
        <v>78</v>
      </c>
      <c r="E18" s="10" t="n">
        <v>1</v>
      </c>
      <c r="F18" s="10" t="n">
        <v>100</v>
      </c>
      <c r="G18" s="11" t="s">
        <v>819</v>
      </c>
      <c r="H18" s="13" t="s">
        <v>814</v>
      </c>
      <c r="I18" s="11"/>
    </row>
    <row r="19" customFormat="false" ht="15" hidden="false" customHeight="true" outlineLevel="0" collapsed="false">
      <c r="A19" s="9" t="s">
        <v>792</v>
      </c>
      <c r="B19" s="9" t="s">
        <v>812</v>
      </c>
      <c r="C19" s="9" t="s">
        <v>119</v>
      </c>
      <c r="D19" s="12" t="s">
        <v>71</v>
      </c>
      <c r="E19" s="10" t="n">
        <v>6</v>
      </c>
      <c r="F19" s="10" t="n">
        <v>100</v>
      </c>
      <c r="G19" s="11" t="s">
        <v>820</v>
      </c>
      <c r="H19" s="33" t="s">
        <v>795</v>
      </c>
      <c r="I19" s="11"/>
    </row>
    <row r="20" customFormat="false" ht="15" hidden="false" customHeight="true" outlineLevel="0" collapsed="false">
      <c r="A20" s="9" t="s">
        <v>792</v>
      </c>
      <c r="B20" s="9" t="s">
        <v>812</v>
      </c>
      <c r="C20" s="9" t="s">
        <v>112</v>
      </c>
      <c r="D20" s="12" t="s">
        <v>78</v>
      </c>
      <c r="E20" s="10" t="n">
        <v>4</v>
      </c>
      <c r="F20" s="10" t="n">
        <v>100</v>
      </c>
      <c r="G20" s="9" t="s">
        <v>821</v>
      </c>
      <c r="H20" s="13" t="s">
        <v>814</v>
      </c>
      <c r="I20" s="11"/>
    </row>
    <row r="21" customFormat="false" ht="15" hidden="false" customHeight="true" outlineLevel="0" collapsed="false">
      <c r="A21" s="9" t="s">
        <v>792</v>
      </c>
      <c r="B21" s="9" t="s">
        <v>812</v>
      </c>
      <c r="C21" s="9" t="s">
        <v>107</v>
      </c>
      <c r="D21" s="12" t="s">
        <v>78</v>
      </c>
      <c r="E21" s="10" t="n">
        <v>4</v>
      </c>
      <c r="F21" s="10" t="n">
        <v>100</v>
      </c>
      <c r="G21" s="11" t="s">
        <v>822</v>
      </c>
      <c r="H21" s="13" t="s">
        <v>814</v>
      </c>
      <c r="I21" s="11"/>
    </row>
    <row r="22" customFormat="false" ht="15" hidden="false" customHeight="true" outlineLevel="0" collapsed="false">
      <c r="A22" s="9" t="s">
        <v>792</v>
      </c>
      <c r="B22" s="9" t="s">
        <v>812</v>
      </c>
      <c r="C22" s="9" t="s">
        <v>103</v>
      </c>
      <c r="D22" s="12" t="s">
        <v>78</v>
      </c>
      <c r="E22" s="10" t="n">
        <v>4</v>
      </c>
      <c r="F22" s="10" t="n">
        <v>100</v>
      </c>
      <c r="G22" s="9" t="s">
        <v>823</v>
      </c>
      <c r="H22" s="18" t="s">
        <v>801</v>
      </c>
      <c r="I22" s="11" t="s">
        <v>824</v>
      </c>
    </row>
    <row r="23" customFormat="false" ht="15" hidden="false" customHeight="true" outlineLevel="0" collapsed="false">
      <c r="A23" s="9" t="s">
        <v>792</v>
      </c>
      <c r="B23" s="9" t="s">
        <v>812</v>
      </c>
      <c r="C23" s="9" t="s">
        <v>575</v>
      </c>
      <c r="D23" s="12" t="s">
        <v>171</v>
      </c>
      <c r="E23" s="10" t="n">
        <v>3</v>
      </c>
      <c r="F23" s="10" t="n">
        <v>100</v>
      </c>
      <c r="G23" s="11" t="s">
        <v>825</v>
      </c>
      <c r="H23" s="18" t="s">
        <v>801</v>
      </c>
      <c r="I23" s="9" t="s">
        <v>826</v>
      </c>
    </row>
    <row r="24" customFormat="false" ht="15" hidden="false" customHeight="true" outlineLevel="0" collapsed="false">
      <c r="A24" s="9" t="s">
        <v>792</v>
      </c>
      <c r="B24" s="9" t="s">
        <v>812</v>
      </c>
      <c r="C24" s="9" t="s">
        <v>123</v>
      </c>
      <c r="D24" s="12" t="s">
        <v>78</v>
      </c>
      <c r="E24" s="10" t="n">
        <v>6</v>
      </c>
      <c r="F24" s="10" t="n">
        <v>100</v>
      </c>
      <c r="G24" s="11" t="s">
        <v>827</v>
      </c>
      <c r="H24" s="33" t="s">
        <v>795</v>
      </c>
      <c r="I24" s="9" t="s">
        <v>125</v>
      </c>
    </row>
    <row r="25" customFormat="false" ht="15" hidden="false" customHeight="true" outlineLevel="0" collapsed="false">
      <c r="A25" s="9" t="s">
        <v>792</v>
      </c>
      <c r="B25" s="9" t="s">
        <v>812</v>
      </c>
      <c r="C25" s="9" t="s">
        <v>142</v>
      </c>
      <c r="D25" s="12" t="s">
        <v>78</v>
      </c>
      <c r="E25" s="10" t="n">
        <v>6</v>
      </c>
      <c r="F25" s="10" t="n">
        <v>150</v>
      </c>
      <c r="G25" s="11" t="s">
        <v>828</v>
      </c>
      <c r="H25" s="33" t="s">
        <v>795</v>
      </c>
      <c r="I25" s="11"/>
    </row>
    <row r="26" customFormat="false" ht="15" hidden="false" customHeight="true" outlineLevel="0" collapsed="false">
      <c r="A26" s="9" t="s">
        <v>792</v>
      </c>
      <c r="B26" s="9" t="s">
        <v>151</v>
      </c>
      <c r="C26" s="9" t="s">
        <v>158</v>
      </c>
      <c r="D26" s="12" t="s">
        <v>78</v>
      </c>
      <c r="E26" s="10" t="n">
        <v>1</v>
      </c>
      <c r="F26" s="10" t="n">
        <v>100</v>
      </c>
      <c r="G26" s="11" t="s">
        <v>829</v>
      </c>
      <c r="H26" s="13" t="s">
        <v>814</v>
      </c>
      <c r="I26" s="11"/>
    </row>
    <row r="27" customFormat="false" ht="15" hidden="false" customHeight="true" outlineLevel="0" collapsed="false">
      <c r="A27" s="9" t="s">
        <v>792</v>
      </c>
      <c r="B27" s="9" t="s">
        <v>151</v>
      </c>
      <c r="C27" s="9" t="s">
        <v>152</v>
      </c>
      <c r="D27" s="12" t="s">
        <v>78</v>
      </c>
      <c r="E27" s="10" t="n">
        <v>2</v>
      </c>
      <c r="F27" s="10" t="n">
        <v>100</v>
      </c>
      <c r="G27" s="11" t="s">
        <v>830</v>
      </c>
      <c r="H27" s="18" t="s">
        <v>801</v>
      </c>
      <c r="I27" s="9" t="s">
        <v>831</v>
      </c>
    </row>
    <row r="28" customFormat="false" ht="15" hidden="false" customHeight="true" outlineLevel="0" collapsed="false">
      <c r="A28" s="9" t="s">
        <v>792</v>
      </c>
      <c r="B28" s="9" t="s">
        <v>151</v>
      </c>
      <c r="C28" s="9" t="s">
        <v>164</v>
      </c>
      <c r="D28" s="12" t="s">
        <v>78</v>
      </c>
      <c r="E28" s="10" t="n">
        <v>4</v>
      </c>
      <c r="F28" s="10" t="n">
        <v>100</v>
      </c>
      <c r="G28" s="11" t="s">
        <v>832</v>
      </c>
      <c r="H28" s="33" t="s">
        <v>795</v>
      </c>
      <c r="I28" s="11"/>
    </row>
    <row r="29" customFormat="false" ht="15" hidden="false" customHeight="true" outlineLevel="0" collapsed="false">
      <c r="A29" s="9" t="s">
        <v>792</v>
      </c>
      <c r="B29" s="9" t="s">
        <v>151</v>
      </c>
      <c r="C29" s="9" t="s">
        <v>170</v>
      </c>
      <c r="D29" s="12" t="s">
        <v>171</v>
      </c>
      <c r="E29" s="10" t="n">
        <v>4</v>
      </c>
      <c r="F29" s="10" t="n">
        <v>100</v>
      </c>
      <c r="G29" s="11" t="s">
        <v>833</v>
      </c>
      <c r="H29" s="33" t="s">
        <v>795</v>
      </c>
      <c r="I29" s="11"/>
    </row>
    <row r="30" customFormat="false" ht="15" hidden="false" customHeight="true" outlineLevel="0" collapsed="false">
      <c r="A30" s="9" t="s">
        <v>792</v>
      </c>
      <c r="B30" s="9" t="s">
        <v>151</v>
      </c>
      <c r="C30" s="9" t="s">
        <v>162</v>
      </c>
      <c r="D30" s="12" t="s">
        <v>78</v>
      </c>
      <c r="E30" s="10" t="n">
        <v>3</v>
      </c>
      <c r="F30" s="10" t="n">
        <v>100</v>
      </c>
      <c r="G30" s="9" t="s">
        <v>834</v>
      </c>
      <c r="H30" s="33" t="s">
        <v>795</v>
      </c>
      <c r="I30" s="11"/>
    </row>
    <row r="31" customFormat="false" ht="15" hidden="false" customHeight="true" outlineLevel="0" collapsed="false">
      <c r="A31" s="9" t="s">
        <v>792</v>
      </c>
      <c r="B31" s="9" t="s">
        <v>151</v>
      </c>
      <c r="C31" s="9" t="s">
        <v>156</v>
      </c>
      <c r="D31" s="12" t="s">
        <v>78</v>
      </c>
      <c r="E31" s="10" t="n">
        <v>1</v>
      </c>
      <c r="F31" s="10" t="n">
        <v>100</v>
      </c>
      <c r="G31" s="11" t="s">
        <v>835</v>
      </c>
      <c r="H31" s="33" t="s">
        <v>795</v>
      </c>
      <c r="I31" s="11"/>
    </row>
    <row r="32" customFormat="false" ht="15" hidden="false" customHeight="true" outlineLevel="0" collapsed="false">
      <c r="A32" s="9" t="s">
        <v>792</v>
      </c>
      <c r="B32" s="9" t="s">
        <v>151</v>
      </c>
      <c r="C32" s="9" t="s">
        <v>166</v>
      </c>
      <c r="D32" s="12" t="s">
        <v>78</v>
      </c>
      <c r="E32" s="10" t="n">
        <v>4</v>
      </c>
      <c r="F32" s="10" t="n">
        <v>100</v>
      </c>
      <c r="G32" s="11" t="s">
        <v>836</v>
      </c>
      <c r="H32" s="33" t="s">
        <v>795</v>
      </c>
      <c r="I32" s="11"/>
    </row>
    <row r="33" customFormat="false" ht="15" hidden="false" customHeight="true" outlineLevel="0" collapsed="false">
      <c r="A33" s="9" t="s">
        <v>792</v>
      </c>
      <c r="B33" s="9" t="s">
        <v>151</v>
      </c>
      <c r="C33" s="9" t="s">
        <v>168</v>
      </c>
      <c r="D33" s="12" t="s">
        <v>78</v>
      </c>
      <c r="E33" s="10" t="n">
        <v>4</v>
      </c>
      <c r="F33" s="10" t="n">
        <v>100</v>
      </c>
      <c r="G33" s="11" t="s">
        <v>837</v>
      </c>
      <c r="H33" s="33" t="s">
        <v>795</v>
      </c>
      <c r="I33" s="11"/>
    </row>
    <row r="34" customFormat="false" ht="15" hidden="false" customHeight="true" outlineLevel="0" collapsed="false">
      <c r="A34" s="9" t="s">
        <v>792</v>
      </c>
      <c r="B34" s="9" t="s">
        <v>151</v>
      </c>
      <c r="C34" s="9" t="s">
        <v>173</v>
      </c>
      <c r="D34" s="12" t="s">
        <v>78</v>
      </c>
      <c r="E34" s="10" t="n">
        <v>4</v>
      </c>
      <c r="F34" s="10" t="n">
        <v>100</v>
      </c>
      <c r="G34" s="11" t="s">
        <v>838</v>
      </c>
      <c r="H34" s="33" t="s">
        <v>795</v>
      </c>
      <c r="I34" s="11" t="s">
        <v>809</v>
      </c>
    </row>
    <row r="35" customFormat="false" ht="15" hidden="false" customHeight="true" outlineLevel="0" collapsed="false">
      <c r="A35" s="9" t="s">
        <v>792</v>
      </c>
      <c r="B35" s="9" t="s">
        <v>151</v>
      </c>
      <c r="C35" s="9" t="s">
        <v>179</v>
      </c>
      <c r="D35" s="12" t="s">
        <v>78</v>
      </c>
      <c r="E35" s="10" t="n">
        <v>4</v>
      </c>
      <c r="F35" s="10" t="n">
        <v>100</v>
      </c>
      <c r="G35" s="11" t="s">
        <v>839</v>
      </c>
      <c r="H35" s="33" t="s">
        <v>795</v>
      </c>
      <c r="I35" s="9" t="s">
        <v>125</v>
      </c>
    </row>
    <row r="36" customFormat="false" ht="15" hidden="false" customHeight="true" outlineLevel="0" collapsed="false">
      <c r="A36" s="9" t="s">
        <v>792</v>
      </c>
      <c r="B36" s="9" t="s">
        <v>151</v>
      </c>
      <c r="C36" s="9" t="s">
        <v>181</v>
      </c>
      <c r="D36" s="12" t="s">
        <v>78</v>
      </c>
      <c r="E36" s="10" t="n">
        <v>7</v>
      </c>
      <c r="F36" s="10" t="n">
        <v>150</v>
      </c>
      <c r="G36" s="11" t="s">
        <v>840</v>
      </c>
      <c r="H36" s="33" t="s">
        <v>795</v>
      </c>
      <c r="I36" s="11"/>
    </row>
    <row r="37" customFormat="false" ht="15" hidden="false" customHeight="true" outlineLevel="0" collapsed="false">
      <c r="A37" s="9" t="s">
        <v>792</v>
      </c>
      <c r="B37" s="9" t="s">
        <v>230</v>
      </c>
      <c r="C37" s="9" t="s">
        <v>231</v>
      </c>
      <c r="D37" s="12" t="s">
        <v>71</v>
      </c>
      <c r="E37" s="10" t="n">
        <v>1</v>
      </c>
      <c r="F37" s="10" t="n">
        <v>100</v>
      </c>
      <c r="G37" s="11" t="s">
        <v>841</v>
      </c>
      <c r="H37" s="13" t="s">
        <v>814</v>
      </c>
      <c r="I37" s="11"/>
    </row>
    <row r="38" customFormat="false" ht="15" hidden="false" customHeight="true" outlineLevel="0" collapsed="false">
      <c r="A38" s="9" t="s">
        <v>792</v>
      </c>
      <c r="B38" s="9" t="s">
        <v>230</v>
      </c>
      <c r="C38" s="9" t="s">
        <v>236</v>
      </c>
      <c r="D38" s="12" t="s">
        <v>78</v>
      </c>
      <c r="E38" s="10" t="n">
        <v>1</v>
      </c>
      <c r="F38" s="10" t="n">
        <v>100</v>
      </c>
      <c r="G38" s="11" t="s">
        <v>842</v>
      </c>
      <c r="H38" s="13" t="s">
        <v>814</v>
      </c>
      <c r="I38" s="11"/>
    </row>
    <row r="39" customFormat="false" ht="15" hidden="false" customHeight="true" outlineLevel="0" collapsed="false">
      <c r="A39" s="9" t="s">
        <v>792</v>
      </c>
      <c r="B39" s="9" t="s">
        <v>230</v>
      </c>
      <c r="C39" s="9" t="s">
        <v>239</v>
      </c>
      <c r="D39" s="12" t="s">
        <v>78</v>
      </c>
      <c r="E39" s="10" t="n">
        <v>1</v>
      </c>
      <c r="F39" s="10" t="n">
        <v>100</v>
      </c>
      <c r="G39" s="11" t="s">
        <v>843</v>
      </c>
      <c r="H39" s="33" t="s">
        <v>795</v>
      </c>
      <c r="I39" s="9" t="s">
        <v>844</v>
      </c>
    </row>
    <row r="40" customFormat="false" ht="15" hidden="false" customHeight="true" outlineLevel="0" collapsed="false">
      <c r="A40" s="9" t="s">
        <v>792</v>
      </c>
      <c r="B40" s="9" t="s">
        <v>230</v>
      </c>
      <c r="C40" s="9" t="s">
        <v>304</v>
      </c>
      <c r="D40" s="12" t="s">
        <v>71</v>
      </c>
      <c r="E40" s="10" t="n">
        <v>10</v>
      </c>
      <c r="F40" s="10" t="n">
        <v>100</v>
      </c>
      <c r="G40" s="11" t="s">
        <v>845</v>
      </c>
      <c r="H40" s="33" t="s">
        <v>795</v>
      </c>
      <c r="I40" s="9" t="s">
        <v>844</v>
      </c>
    </row>
    <row r="41" customFormat="false" ht="15" hidden="false" customHeight="true" outlineLevel="0" collapsed="false">
      <c r="A41" s="9" t="s">
        <v>792</v>
      </c>
      <c r="B41" s="9" t="s">
        <v>230</v>
      </c>
      <c r="C41" s="9" t="s">
        <v>253</v>
      </c>
      <c r="D41" s="12" t="s">
        <v>78</v>
      </c>
      <c r="E41" s="10" t="n">
        <v>2</v>
      </c>
      <c r="F41" s="10" t="n">
        <v>100</v>
      </c>
      <c r="G41" s="11" t="s">
        <v>846</v>
      </c>
      <c r="H41" s="33" t="s">
        <v>795</v>
      </c>
      <c r="I41" s="9" t="s">
        <v>844</v>
      </c>
    </row>
    <row r="42" customFormat="false" ht="15" hidden="false" customHeight="true" outlineLevel="0" collapsed="false">
      <c r="A42" s="9" t="s">
        <v>792</v>
      </c>
      <c r="B42" s="9" t="s">
        <v>230</v>
      </c>
      <c r="C42" s="9" t="s">
        <v>251</v>
      </c>
      <c r="D42" s="12" t="s">
        <v>78</v>
      </c>
      <c r="E42" s="10" t="n">
        <v>2</v>
      </c>
      <c r="F42" s="10" t="n">
        <v>100</v>
      </c>
      <c r="G42" s="11" t="s">
        <v>847</v>
      </c>
      <c r="H42" s="33" t="s">
        <v>795</v>
      </c>
      <c r="I42" s="9" t="s">
        <v>844</v>
      </c>
    </row>
    <row r="43" customFormat="false" ht="15" hidden="false" customHeight="true" outlineLevel="0" collapsed="false">
      <c r="A43" s="9" t="s">
        <v>792</v>
      </c>
      <c r="B43" s="9" t="s">
        <v>230</v>
      </c>
      <c r="C43" s="9" t="s">
        <v>267</v>
      </c>
      <c r="D43" s="12" t="s">
        <v>71</v>
      </c>
      <c r="E43" s="10" t="n">
        <v>3</v>
      </c>
      <c r="F43" s="10" t="n">
        <v>100</v>
      </c>
      <c r="G43" s="11" t="s">
        <v>848</v>
      </c>
      <c r="H43" s="33" t="s">
        <v>795</v>
      </c>
      <c r="I43" s="11"/>
    </row>
    <row r="44" customFormat="false" ht="15" hidden="false" customHeight="true" outlineLevel="0" collapsed="false">
      <c r="A44" s="9" t="s">
        <v>792</v>
      </c>
      <c r="B44" s="9" t="s">
        <v>230</v>
      </c>
      <c r="C44" s="9" t="s">
        <v>269</v>
      </c>
      <c r="D44" s="12" t="s">
        <v>71</v>
      </c>
      <c r="E44" s="10" t="n">
        <v>3</v>
      </c>
      <c r="F44" s="10" t="n">
        <v>100</v>
      </c>
      <c r="G44" s="11" t="s">
        <v>849</v>
      </c>
      <c r="H44" s="33" t="s">
        <v>795</v>
      </c>
      <c r="I44" s="11"/>
    </row>
    <row r="45" customFormat="false" ht="15" hidden="false" customHeight="true" outlineLevel="0" collapsed="false">
      <c r="A45" s="9" t="s">
        <v>792</v>
      </c>
      <c r="B45" s="9" t="s">
        <v>230</v>
      </c>
      <c r="C45" s="9" t="s">
        <v>286</v>
      </c>
      <c r="D45" s="12" t="s">
        <v>71</v>
      </c>
      <c r="E45" s="10" t="n">
        <v>5</v>
      </c>
      <c r="F45" s="10" t="n">
        <v>100</v>
      </c>
      <c r="G45" s="11" t="s">
        <v>850</v>
      </c>
      <c r="H45" s="33" t="s">
        <v>795</v>
      </c>
      <c r="I45" s="11" t="s">
        <v>809</v>
      </c>
    </row>
    <row r="46" customFormat="false" ht="15" hidden="false" customHeight="true" outlineLevel="0" collapsed="false">
      <c r="A46" s="9" t="s">
        <v>792</v>
      </c>
      <c r="B46" s="9" t="s">
        <v>230</v>
      </c>
      <c r="C46" s="9" t="s">
        <v>275</v>
      </c>
      <c r="D46" s="12" t="s">
        <v>78</v>
      </c>
      <c r="E46" s="10" t="n">
        <v>3</v>
      </c>
      <c r="F46" s="10" t="n">
        <v>100</v>
      </c>
      <c r="G46" s="9" t="s">
        <v>851</v>
      </c>
      <c r="H46" s="33" t="s">
        <v>795</v>
      </c>
      <c r="I46" s="11"/>
    </row>
    <row r="47" customFormat="false" ht="15" hidden="false" customHeight="true" outlineLevel="0" collapsed="false">
      <c r="A47" s="9" t="s">
        <v>792</v>
      </c>
      <c r="B47" s="9" t="s">
        <v>230</v>
      </c>
      <c r="C47" s="9" t="s">
        <v>302</v>
      </c>
      <c r="D47" s="12" t="s">
        <v>71</v>
      </c>
      <c r="E47" s="10" t="n">
        <v>9</v>
      </c>
      <c r="F47" s="10" t="n">
        <v>100</v>
      </c>
      <c r="G47" s="11" t="s">
        <v>852</v>
      </c>
      <c r="H47" s="33" t="s">
        <v>795</v>
      </c>
      <c r="I47" s="9" t="s">
        <v>125</v>
      </c>
    </row>
    <row r="48" customFormat="false" ht="15" hidden="false" customHeight="true" outlineLevel="0" collapsed="false">
      <c r="A48" s="9" t="s">
        <v>792</v>
      </c>
      <c r="B48" s="9" t="s">
        <v>230</v>
      </c>
      <c r="C48" s="9" t="s">
        <v>291</v>
      </c>
      <c r="D48" s="12" t="s">
        <v>71</v>
      </c>
      <c r="E48" s="10" t="n">
        <v>9</v>
      </c>
      <c r="F48" s="10" t="n">
        <v>150</v>
      </c>
      <c r="G48" s="11" t="s">
        <v>853</v>
      </c>
      <c r="H48" s="18" t="s">
        <v>801</v>
      </c>
      <c r="I48" s="9" t="s">
        <v>854</v>
      </c>
    </row>
    <row r="49" customFormat="false" ht="15" hidden="false" customHeight="true" outlineLevel="0" collapsed="false">
      <c r="A49" s="9" t="s">
        <v>792</v>
      </c>
      <c r="B49" s="9" t="s">
        <v>855</v>
      </c>
      <c r="C49" s="9" t="s">
        <v>535</v>
      </c>
      <c r="D49" s="12" t="s">
        <v>78</v>
      </c>
      <c r="E49" s="10" t="n">
        <v>2</v>
      </c>
      <c r="F49" s="10" t="n">
        <v>100</v>
      </c>
      <c r="G49" s="11" t="s">
        <v>856</v>
      </c>
      <c r="H49" s="33" t="s">
        <v>795</v>
      </c>
      <c r="I49" s="11"/>
    </row>
    <row r="50" customFormat="false" ht="15" hidden="false" customHeight="true" outlineLevel="0" collapsed="false">
      <c r="A50" s="9" t="s">
        <v>792</v>
      </c>
      <c r="B50" s="9" t="s">
        <v>855</v>
      </c>
      <c r="C50" s="9" t="s">
        <v>537</v>
      </c>
      <c r="D50" s="12" t="s">
        <v>78</v>
      </c>
      <c r="E50" s="10" t="n">
        <v>4</v>
      </c>
      <c r="F50" s="10" t="n">
        <v>100</v>
      </c>
      <c r="G50" s="11" t="s">
        <v>857</v>
      </c>
      <c r="H50" s="33" t="s">
        <v>795</v>
      </c>
      <c r="I50" s="11"/>
    </row>
    <row r="51" customFormat="false" ht="15" hidden="false" customHeight="true" outlineLevel="0" collapsed="false">
      <c r="A51" s="9" t="s">
        <v>792</v>
      </c>
      <c r="B51" s="9" t="s">
        <v>855</v>
      </c>
      <c r="C51" s="9" t="s">
        <v>543</v>
      </c>
      <c r="D51" s="12" t="s">
        <v>78</v>
      </c>
      <c r="E51" s="10" t="n">
        <v>7</v>
      </c>
      <c r="F51" s="10" t="n">
        <v>100</v>
      </c>
      <c r="G51" s="11" t="s">
        <v>858</v>
      </c>
      <c r="H51" s="33" t="s">
        <v>795</v>
      </c>
      <c r="I51" s="11"/>
    </row>
    <row r="52" customFormat="false" ht="15" hidden="false" customHeight="true" outlineLevel="0" collapsed="false">
      <c r="A52" s="9" t="s">
        <v>792</v>
      </c>
      <c r="B52" s="9" t="s">
        <v>855</v>
      </c>
      <c r="C52" s="9" t="s">
        <v>541</v>
      </c>
      <c r="D52" s="12" t="s">
        <v>78</v>
      </c>
      <c r="E52" s="10" t="n">
        <v>5</v>
      </c>
      <c r="F52" s="10" t="n">
        <v>100</v>
      </c>
      <c r="G52" s="11" t="s">
        <v>859</v>
      </c>
      <c r="H52" s="33" t="s">
        <v>795</v>
      </c>
      <c r="I52" s="11"/>
    </row>
    <row r="53" customFormat="false" ht="15" hidden="false" customHeight="true" outlineLevel="0" collapsed="false">
      <c r="A53" s="9" t="s">
        <v>792</v>
      </c>
      <c r="B53" s="9" t="s">
        <v>855</v>
      </c>
      <c r="C53" s="9" t="s">
        <v>539</v>
      </c>
      <c r="D53" s="12" t="s">
        <v>78</v>
      </c>
      <c r="E53" s="10" t="n">
        <v>5</v>
      </c>
      <c r="F53" s="10" t="n">
        <v>100</v>
      </c>
      <c r="G53" s="9" t="s">
        <v>860</v>
      </c>
      <c r="H53" s="33" t="s">
        <v>795</v>
      </c>
      <c r="I53" s="11"/>
    </row>
    <row r="54" customFormat="false" ht="15" hidden="false" customHeight="true" outlineLevel="0" collapsed="false">
      <c r="A54" s="9" t="s">
        <v>792</v>
      </c>
      <c r="B54" s="9" t="s">
        <v>855</v>
      </c>
      <c r="C54" s="9" t="s">
        <v>549</v>
      </c>
      <c r="D54" s="12" t="s">
        <v>78</v>
      </c>
      <c r="E54" s="10" t="n">
        <v>15</v>
      </c>
      <c r="F54" s="10" t="n">
        <v>100</v>
      </c>
      <c r="G54" s="11" t="s">
        <v>861</v>
      </c>
      <c r="H54" s="33" t="s">
        <v>795</v>
      </c>
      <c r="I54" s="11"/>
    </row>
    <row r="55" customFormat="false" ht="15" hidden="false" customHeight="true" outlineLevel="0" collapsed="false">
      <c r="A55" s="9" t="s">
        <v>792</v>
      </c>
      <c r="B55" s="9" t="s">
        <v>855</v>
      </c>
      <c r="C55" s="9" t="s">
        <v>545</v>
      </c>
      <c r="D55" s="12" t="s">
        <v>78</v>
      </c>
      <c r="E55" s="10" t="n">
        <v>8</v>
      </c>
      <c r="F55" s="10" t="n">
        <v>100</v>
      </c>
      <c r="G55" s="11" t="s">
        <v>862</v>
      </c>
      <c r="H55" s="33" t="s">
        <v>795</v>
      </c>
      <c r="I55" s="11"/>
    </row>
    <row r="56" customFormat="false" ht="15" hidden="false" customHeight="true" outlineLevel="0" collapsed="false">
      <c r="A56" s="9" t="s">
        <v>792</v>
      </c>
      <c r="B56" s="9" t="s">
        <v>855</v>
      </c>
      <c r="C56" s="9" t="s">
        <v>547</v>
      </c>
      <c r="D56" s="12" t="s">
        <v>78</v>
      </c>
      <c r="E56" s="10" t="n">
        <v>9</v>
      </c>
      <c r="F56" s="10" t="n">
        <v>100</v>
      </c>
      <c r="G56" s="11" t="s">
        <v>863</v>
      </c>
      <c r="H56" s="33" t="s">
        <v>795</v>
      </c>
      <c r="I56" s="11"/>
    </row>
    <row r="57" customFormat="false" ht="15" hidden="false" customHeight="true" outlineLevel="0" collapsed="false">
      <c r="A57" s="9" t="s">
        <v>792</v>
      </c>
      <c r="B57" s="9" t="s">
        <v>855</v>
      </c>
      <c r="C57" s="9" t="s">
        <v>552</v>
      </c>
      <c r="D57" s="12" t="s">
        <v>78</v>
      </c>
      <c r="E57" s="10" t="n">
        <v>16</v>
      </c>
      <c r="F57" s="10" t="n">
        <v>150</v>
      </c>
      <c r="G57" s="11" t="s">
        <v>864</v>
      </c>
      <c r="H57" s="13" t="s">
        <v>814</v>
      </c>
      <c r="I57" s="9" t="s">
        <v>865</v>
      </c>
    </row>
    <row r="58" customFormat="false" ht="15" hidden="false" customHeight="true" outlineLevel="0" collapsed="false">
      <c r="A58" s="9" t="s">
        <v>792</v>
      </c>
      <c r="B58" s="9" t="s">
        <v>855</v>
      </c>
      <c r="C58" s="9" t="s">
        <v>558</v>
      </c>
      <c r="D58" s="12" t="s">
        <v>78</v>
      </c>
      <c r="E58" s="10" t="n">
        <v>16</v>
      </c>
      <c r="F58" s="10" t="n">
        <v>100</v>
      </c>
      <c r="G58" s="11" t="s">
        <v>866</v>
      </c>
      <c r="H58" s="33" t="s">
        <v>795</v>
      </c>
      <c r="I58" s="11" t="s">
        <v>809</v>
      </c>
    </row>
    <row r="59" customFormat="false" ht="15" hidden="false" customHeight="true" outlineLevel="0" collapsed="false">
      <c r="A59" s="9" t="s">
        <v>792</v>
      </c>
      <c r="B59" s="9" t="s">
        <v>855</v>
      </c>
      <c r="C59" s="9" t="s">
        <v>560</v>
      </c>
      <c r="D59" s="12" t="s">
        <v>78</v>
      </c>
      <c r="E59" s="10" t="n">
        <v>18</v>
      </c>
      <c r="F59" s="10" t="n">
        <v>100</v>
      </c>
      <c r="G59" s="11" t="s">
        <v>867</v>
      </c>
      <c r="H59" s="33" t="s">
        <v>795</v>
      </c>
      <c r="I59" s="9" t="s">
        <v>125</v>
      </c>
    </row>
    <row r="60" customFormat="false" ht="15" hidden="false" customHeight="true" outlineLevel="0" collapsed="false">
      <c r="A60" s="9" t="s">
        <v>792</v>
      </c>
      <c r="B60" s="9" t="s">
        <v>855</v>
      </c>
      <c r="C60" s="9" t="s">
        <v>563</v>
      </c>
      <c r="D60" s="12" t="s">
        <v>78</v>
      </c>
      <c r="E60" s="10" t="n">
        <v>27</v>
      </c>
      <c r="F60" s="10" t="n">
        <v>150</v>
      </c>
      <c r="G60" s="11" t="s">
        <v>868</v>
      </c>
      <c r="H60" s="13" t="s">
        <v>814</v>
      </c>
      <c r="I60" s="9" t="s">
        <v>869</v>
      </c>
    </row>
    <row r="61" customFormat="false" ht="15" hidden="false" customHeight="true" outlineLevel="0" collapsed="false">
      <c r="A61" s="9" t="s">
        <v>792</v>
      </c>
      <c r="B61" s="9" t="s">
        <v>394</v>
      </c>
      <c r="C61" s="9" t="s">
        <v>397</v>
      </c>
      <c r="D61" s="12" t="s">
        <v>171</v>
      </c>
      <c r="E61" s="10" t="n">
        <v>1</v>
      </c>
      <c r="F61" s="10" t="n">
        <v>100</v>
      </c>
      <c r="G61" s="11" t="s">
        <v>870</v>
      </c>
      <c r="H61" s="33" t="s">
        <v>795</v>
      </c>
      <c r="I61" s="11"/>
    </row>
    <row r="62" customFormat="false" ht="15" hidden="false" customHeight="true" outlineLevel="0" collapsed="false">
      <c r="A62" s="9" t="s">
        <v>792</v>
      </c>
      <c r="B62" s="9" t="s">
        <v>394</v>
      </c>
      <c r="C62" s="9" t="s">
        <v>399</v>
      </c>
      <c r="D62" s="12" t="s">
        <v>171</v>
      </c>
      <c r="E62" s="10" t="n">
        <v>1</v>
      </c>
      <c r="F62" s="10" t="n">
        <v>100</v>
      </c>
      <c r="G62" s="11" t="s">
        <v>871</v>
      </c>
      <c r="H62" s="33" t="s">
        <v>795</v>
      </c>
      <c r="I62" s="11"/>
    </row>
    <row r="63" customFormat="false" ht="15" hidden="false" customHeight="true" outlineLevel="0" collapsed="false">
      <c r="A63" s="9" t="s">
        <v>792</v>
      </c>
      <c r="B63" s="9" t="s">
        <v>394</v>
      </c>
      <c r="C63" s="9" t="s">
        <v>403</v>
      </c>
      <c r="D63" s="12" t="s">
        <v>171</v>
      </c>
      <c r="E63" s="10" t="n">
        <v>2</v>
      </c>
      <c r="F63" s="10" t="n">
        <v>100</v>
      </c>
      <c r="G63" s="11" t="s">
        <v>872</v>
      </c>
      <c r="H63" s="33" t="s">
        <v>795</v>
      </c>
      <c r="I63" s="11"/>
    </row>
    <row r="64" customFormat="false" ht="15" hidden="false" customHeight="true" outlineLevel="0" collapsed="false">
      <c r="A64" s="9" t="s">
        <v>792</v>
      </c>
      <c r="B64" s="9" t="s">
        <v>394</v>
      </c>
      <c r="C64" s="9" t="s">
        <v>411</v>
      </c>
      <c r="D64" s="12" t="s">
        <v>171</v>
      </c>
      <c r="E64" s="10" t="n">
        <v>3</v>
      </c>
      <c r="F64" s="10" t="n">
        <v>100</v>
      </c>
      <c r="G64" s="11" t="s">
        <v>873</v>
      </c>
      <c r="H64" s="33" t="s">
        <v>795</v>
      </c>
      <c r="I64" s="11"/>
    </row>
    <row r="65" customFormat="false" ht="15" hidden="false" customHeight="true" outlineLevel="0" collapsed="false">
      <c r="A65" s="9" t="s">
        <v>792</v>
      </c>
      <c r="B65" s="9" t="s">
        <v>394</v>
      </c>
      <c r="C65" s="9" t="s">
        <v>429</v>
      </c>
      <c r="D65" s="12" t="s">
        <v>171</v>
      </c>
      <c r="E65" s="10" t="n">
        <v>5</v>
      </c>
      <c r="F65" s="10" t="n">
        <v>100</v>
      </c>
      <c r="G65" s="11" t="s">
        <v>874</v>
      </c>
      <c r="H65" s="33" t="s">
        <v>795</v>
      </c>
      <c r="I65" s="11"/>
    </row>
    <row r="66" customFormat="false" ht="15" hidden="false" customHeight="true" outlineLevel="0" collapsed="false">
      <c r="A66" s="9" t="s">
        <v>792</v>
      </c>
      <c r="B66" s="9" t="s">
        <v>394</v>
      </c>
      <c r="C66" s="9" t="s">
        <v>413</v>
      </c>
      <c r="D66" s="12" t="s">
        <v>171</v>
      </c>
      <c r="E66" s="10" t="n">
        <v>3</v>
      </c>
      <c r="F66" s="10" t="n">
        <v>100</v>
      </c>
      <c r="G66" s="11" t="s">
        <v>875</v>
      </c>
      <c r="H66" s="33" t="s">
        <v>795</v>
      </c>
      <c r="I66" s="11"/>
    </row>
    <row r="67" customFormat="false" ht="15" hidden="false" customHeight="true" outlineLevel="0" collapsed="false">
      <c r="A67" s="9" t="s">
        <v>792</v>
      </c>
      <c r="B67" s="9" t="s">
        <v>394</v>
      </c>
      <c r="C67" s="9" t="s">
        <v>415</v>
      </c>
      <c r="D67" s="12" t="s">
        <v>171</v>
      </c>
      <c r="E67" s="10" t="n">
        <v>3</v>
      </c>
      <c r="F67" s="10" t="n">
        <v>100</v>
      </c>
      <c r="G67" s="11" t="s">
        <v>876</v>
      </c>
      <c r="H67" s="33" t="s">
        <v>795</v>
      </c>
      <c r="I67" s="11"/>
    </row>
    <row r="68" customFormat="false" ht="15" hidden="false" customHeight="true" outlineLevel="0" collapsed="false">
      <c r="A68" s="9" t="s">
        <v>792</v>
      </c>
      <c r="B68" s="9" t="s">
        <v>394</v>
      </c>
      <c r="C68" s="9" t="s">
        <v>417</v>
      </c>
      <c r="D68" s="12" t="s">
        <v>171</v>
      </c>
      <c r="E68" s="10" t="n">
        <v>3</v>
      </c>
      <c r="F68" s="10" t="n">
        <v>100</v>
      </c>
      <c r="G68" s="11" t="s">
        <v>877</v>
      </c>
      <c r="H68" s="33" t="s">
        <v>795</v>
      </c>
      <c r="I68" s="11"/>
    </row>
    <row r="69" customFormat="false" ht="15" hidden="false" customHeight="true" outlineLevel="0" collapsed="false">
      <c r="A69" s="9" t="s">
        <v>792</v>
      </c>
      <c r="B69" s="9" t="s">
        <v>394</v>
      </c>
      <c r="C69" s="9" t="s">
        <v>431</v>
      </c>
      <c r="D69" s="12" t="s">
        <v>171</v>
      </c>
      <c r="E69" s="10" t="n">
        <v>8</v>
      </c>
      <c r="F69" s="10" t="n">
        <v>100</v>
      </c>
      <c r="G69" s="11" t="s">
        <v>878</v>
      </c>
      <c r="H69" s="33" t="s">
        <v>795</v>
      </c>
      <c r="I69" s="9" t="s">
        <v>125</v>
      </c>
    </row>
    <row r="70" customFormat="false" ht="15" hidden="false" customHeight="true" outlineLevel="0" collapsed="false">
      <c r="A70" s="9" t="s">
        <v>792</v>
      </c>
      <c r="B70" s="9" t="s">
        <v>394</v>
      </c>
      <c r="C70" s="9" t="s">
        <v>427</v>
      </c>
      <c r="D70" s="12" t="s">
        <v>171</v>
      </c>
      <c r="E70" s="10" t="n">
        <v>4</v>
      </c>
      <c r="F70" s="10" t="n">
        <v>100</v>
      </c>
      <c r="G70" s="11" t="s">
        <v>879</v>
      </c>
      <c r="H70" s="33" t="s">
        <v>795</v>
      </c>
      <c r="I70" s="11" t="s">
        <v>809</v>
      </c>
    </row>
    <row r="71" customFormat="false" ht="15" hidden="false" customHeight="true" outlineLevel="0" collapsed="false">
      <c r="A71" s="9" t="s">
        <v>792</v>
      </c>
      <c r="B71" s="9" t="s">
        <v>394</v>
      </c>
      <c r="C71" s="9" t="s">
        <v>433</v>
      </c>
      <c r="D71" s="12" t="s">
        <v>171</v>
      </c>
      <c r="E71" s="10" t="n">
        <v>8</v>
      </c>
      <c r="F71" s="10" t="n">
        <v>150</v>
      </c>
      <c r="G71" s="11" t="s">
        <v>880</v>
      </c>
      <c r="H71" s="33" t="s">
        <v>795</v>
      </c>
      <c r="I71" s="11"/>
    </row>
    <row r="72" customFormat="false" ht="15" hidden="false" customHeight="true" outlineLevel="0" collapsed="false">
      <c r="A72" s="9" t="s">
        <v>792</v>
      </c>
      <c r="B72" s="9" t="s">
        <v>354</v>
      </c>
      <c r="C72" s="9" t="s">
        <v>881</v>
      </c>
      <c r="D72" s="12" t="s">
        <v>78</v>
      </c>
      <c r="E72" s="10" t="n">
        <v>2</v>
      </c>
      <c r="F72" s="10" t="n">
        <v>100</v>
      </c>
      <c r="G72" s="11" t="s">
        <v>882</v>
      </c>
      <c r="H72" s="18" t="s">
        <v>801</v>
      </c>
      <c r="I72" s="9" t="s">
        <v>883</v>
      </c>
    </row>
    <row r="73" customFormat="false" ht="15" hidden="false" customHeight="true" outlineLevel="0" collapsed="false">
      <c r="A73" s="9" t="s">
        <v>792</v>
      </c>
      <c r="B73" s="9" t="s">
        <v>354</v>
      </c>
      <c r="C73" s="9" t="s">
        <v>360</v>
      </c>
      <c r="D73" s="12" t="s">
        <v>78</v>
      </c>
      <c r="E73" s="10" t="n">
        <v>1</v>
      </c>
      <c r="F73" s="10" t="n">
        <v>100</v>
      </c>
      <c r="G73" s="11" t="s">
        <v>884</v>
      </c>
      <c r="H73" s="33" t="s">
        <v>795</v>
      </c>
      <c r="I73" s="11"/>
    </row>
    <row r="74" customFormat="false" ht="15" hidden="false" customHeight="true" outlineLevel="0" collapsed="false">
      <c r="A74" s="9" t="s">
        <v>792</v>
      </c>
      <c r="B74" s="9" t="s">
        <v>354</v>
      </c>
      <c r="C74" s="9" t="s">
        <v>358</v>
      </c>
      <c r="D74" s="12" t="s">
        <v>78</v>
      </c>
      <c r="E74" s="10" t="n">
        <v>1</v>
      </c>
      <c r="F74" s="10" t="n">
        <v>100</v>
      </c>
      <c r="G74" s="11" t="s">
        <v>885</v>
      </c>
      <c r="H74" s="33" t="s">
        <v>795</v>
      </c>
      <c r="I74" s="11"/>
    </row>
    <row r="75" customFormat="false" ht="15" hidden="false" customHeight="true" outlineLevel="0" collapsed="false">
      <c r="A75" s="9" t="s">
        <v>792</v>
      </c>
      <c r="B75" s="9" t="s">
        <v>354</v>
      </c>
      <c r="C75" s="9" t="s">
        <v>371</v>
      </c>
      <c r="D75" s="12" t="s">
        <v>78</v>
      </c>
      <c r="E75" s="10" t="n">
        <v>3</v>
      </c>
      <c r="F75" s="10" t="n">
        <v>100</v>
      </c>
      <c r="G75" s="11" t="s">
        <v>886</v>
      </c>
      <c r="H75" s="33" t="s">
        <v>795</v>
      </c>
      <c r="I75" s="11"/>
    </row>
    <row r="76" customFormat="false" ht="15" hidden="false" customHeight="true" outlineLevel="0" collapsed="false">
      <c r="A76" s="9" t="s">
        <v>792</v>
      </c>
      <c r="B76" s="9" t="s">
        <v>354</v>
      </c>
      <c r="C76" s="9" t="s">
        <v>379</v>
      </c>
      <c r="D76" s="12" t="s">
        <v>78</v>
      </c>
      <c r="E76" s="10" t="n">
        <v>3</v>
      </c>
      <c r="F76" s="10" t="n">
        <v>100</v>
      </c>
      <c r="G76" s="11" t="s">
        <v>887</v>
      </c>
      <c r="H76" s="33" t="s">
        <v>795</v>
      </c>
      <c r="I76" s="11"/>
    </row>
    <row r="77" customFormat="false" ht="29.25" hidden="false" customHeight="true" outlineLevel="0" collapsed="false">
      <c r="A77" s="9" t="s">
        <v>792</v>
      </c>
      <c r="B77" s="9" t="s">
        <v>354</v>
      </c>
      <c r="C77" s="9" t="s">
        <v>385</v>
      </c>
      <c r="D77" s="12" t="s">
        <v>78</v>
      </c>
      <c r="E77" s="10" t="n">
        <v>7</v>
      </c>
      <c r="F77" s="10" t="n">
        <v>100</v>
      </c>
      <c r="G77" s="11" t="s">
        <v>888</v>
      </c>
      <c r="H77" s="33" t="s">
        <v>795</v>
      </c>
      <c r="I77" s="9" t="s">
        <v>889</v>
      </c>
    </row>
    <row r="78" customFormat="false" ht="15" hidden="false" customHeight="true" outlineLevel="0" collapsed="false">
      <c r="A78" s="9" t="s">
        <v>792</v>
      </c>
      <c r="B78" s="9" t="s">
        <v>354</v>
      </c>
      <c r="C78" s="9" t="s">
        <v>375</v>
      </c>
      <c r="D78" s="12" t="s">
        <v>78</v>
      </c>
      <c r="E78" s="10" t="n">
        <v>3</v>
      </c>
      <c r="F78" s="10" t="n">
        <v>100</v>
      </c>
      <c r="G78" s="9" t="s">
        <v>890</v>
      </c>
      <c r="H78" s="33" t="s">
        <v>795</v>
      </c>
      <c r="I78" s="11"/>
    </row>
    <row r="79" customFormat="false" ht="15" hidden="false" customHeight="true" outlineLevel="0" collapsed="false">
      <c r="A79" s="9" t="s">
        <v>792</v>
      </c>
      <c r="B79" s="9" t="s">
        <v>354</v>
      </c>
      <c r="C79" s="9" t="s">
        <v>381</v>
      </c>
      <c r="D79" s="12" t="s">
        <v>78</v>
      </c>
      <c r="E79" s="10" t="n">
        <v>3</v>
      </c>
      <c r="F79" s="10" t="n">
        <v>100</v>
      </c>
      <c r="G79" s="11" t="s">
        <v>891</v>
      </c>
      <c r="H79" s="33" t="s">
        <v>795</v>
      </c>
      <c r="I79" s="11"/>
    </row>
    <row r="80" customFormat="false" ht="15" hidden="false" customHeight="true" outlineLevel="0" collapsed="false">
      <c r="A80" s="9" t="s">
        <v>792</v>
      </c>
      <c r="B80" s="9" t="s">
        <v>354</v>
      </c>
      <c r="C80" s="9" t="s">
        <v>383</v>
      </c>
      <c r="D80" s="12" t="s">
        <v>78</v>
      </c>
      <c r="E80" s="10" t="n">
        <v>3</v>
      </c>
      <c r="F80" s="10" t="n">
        <v>100</v>
      </c>
      <c r="G80" s="11" t="s">
        <v>892</v>
      </c>
      <c r="H80" s="33" t="s">
        <v>795</v>
      </c>
      <c r="I80" s="11" t="s">
        <v>809</v>
      </c>
    </row>
    <row r="81" customFormat="false" ht="15" hidden="false" customHeight="true" outlineLevel="0" collapsed="false">
      <c r="A81" s="9" t="s">
        <v>792</v>
      </c>
      <c r="B81" s="9" t="s">
        <v>354</v>
      </c>
      <c r="C81" s="9" t="s">
        <v>390</v>
      </c>
      <c r="D81" s="12" t="s">
        <v>78</v>
      </c>
      <c r="E81" s="10" t="n">
        <v>8</v>
      </c>
      <c r="F81" s="10" t="n">
        <v>100</v>
      </c>
      <c r="G81" s="11" t="s">
        <v>893</v>
      </c>
      <c r="H81" s="33" t="s">
        <v>795</v>
      </c>
      <c r="I81" s="9" t="s">
        <v>125</v>
      </c>
    </row>
    <row r="82" customFormat="false" ht="15" hidden="false" customHeight="true" outlineLevel="0" collapsed="false">
      <c r="A82" s="9" t="s">
        <v>792</v>
      </c>
      <c r="B82" s="9" t="s">
        <v>354</v>
      </c>
      <c r="C82" s="9" t="s">
        <v>392</v>
      </c>
      <c r="D82" s="12" t="s">
        <v>78</v>
      </c>
      <c r="E82" s="10" t="n">
        <v>4</v>
      </c>
      <c r="F82" s="10" t="n">
        <v>150</v>
      </c>
      <c r="G82" s="11" t="s">
        <v>894</v>
      </c>
      <c r="H82" s="33" t="s">
        <v>795</v>
      </c>
      <c r="I82" s="11"/>
    </row>
    <row r="83" customFormat="false" ht="15" hidden="false" customHeight="true" outlineLevel="0" collapsed="false">
      <c r="A83" s="9" t="s">
        <v>792</v>
      </c>
      <c r="B83" s="9" t="s">
        <v>435</v>
      </c>
      <c r="C83" s="9" t="s">
        <v>436</v>
      </c>
      <c r="D83" s="12" t="s">
        <v>71</v>
      </c>
      <c r="E83" s="10" t="n">
        <v>2</v>
      </c>
      <c r="F83" s="10" t="n">
        <v>80</v>
      </c>
      <c r="G83" s="9" t="s">
        <v>895</v>
      </c>
      <c r="H83" s="33" t="s">
        <v>795</v>
      </c>
      <c r="I83" s="11"/>
    </row>
    <row r="84" customFormat="false" ht="15" hidden="false" customHeight="true" outlineLevel="0" collapsed="false">
      <c r="A84" s="9" t="s">
        <v>792</v>
      </c>
      <c r="B84" s="9" t="s">
        <v>435</v>
      </c>
      <c r="C84" s="9" t="s">
        <v>441</v>
      </c>
      <c r="D84" s="12" t="s">
        <v>71</v>
      </c>
      <c r="E84" s="10" t="n">
        <v>2</v>
      </c>
      <c r="F84" s="10" t="n">
        <v>80</v>
      </c>
      <c r="G84" s="9" t="s">
        <v>896</v>
      </c>
      <c r="H84" s="33" t="s">
        <v>795</v>
      </c>
      <c r="I84" s="11"/>
    </row>
    <row r="85" customFormat="false" ht="15" hidden="false" customHeight="true" outlineLevel="0" collapsed="false">
      <c r="A85" s="9" t="s">
        <v>792</v>
      </c>
      <c r="B85" s="9" t="s">
        <v>435</v>
      </c>
      <c r="C85" s="9" t="s">
        <v>443</v>
      </c>
      <c r="D85" s="12" t="s">
        <v>71</v>
      </c>
      <c r="E85" s="10" t="n">
        <v>1</v>
      </c>
      <c r="F85" s="10" t="n">
        <v>90</v>
      </c>
      <c r="G85" s="9" t="s">
        <v>897</v>
      </c>
      <c r="H85" s="33" t="s">
        <v>795</v>
      </c>
      <c r="I85" s="11"/>
    </row>
    <row r="86" customFormat="false" ht="15" hidden="false" customHeight="true" outlineLevel="0" collapsed="false">
      <c r="A86" s="9" t="s">
        <v>792</v>
      </c>
      <c r="B86" s="9" t="s">
        <v>435</v>
      </c>
      <c r="C86" s="9" t="s">
        <v>445</v>
      </c>
      <c r="D86" s="12" t="s">
        <v>71</v>
      </c>
      <c r="E86" s="10" t="n">
        <v>1</v>
      </c>
      <c r="F86" s="10" t="n">
        <v>90</v>
      </c>
      <c r="G86" s="9" t="s">
        <v>898</v>
      </c>
      <c r="H86" s="33" t="s">
        <v>795</v>
      </c>
      <c r="I86" s="11"/>
    </row>
    <row r="87" customFormat="false" ht="15" hidden="false" customHeight="true" outlineLevel="0" collapsed="false">
      <c r="A87" s="9" t="s">
        <v>792</v>
      </c>
      <c r="B87" s="9" t="s">
        <v>435</v>
      </c>
      <c r="C87" s="9" t="s">
        <v>449</v>
      </c>
      <c r="D87" s="12" t="s">
        <v>71</v>
      </c>
      <c r="E87" s="10" t="n">
        <v>5</v>
      </c>
      <c r="F87" s="10" t="n">
        <v>100</v>
      </c>
      <c r="G87" s="9" t="s">
        <v>899</v>
      </c>
      <c r="H87" s="33" t="s">
        <v>795</v>
      </c>
      <c r="I87" s="11"/>
    </row>
    <row r="88" customFormat="false" ht="15" hidden="false" customHeight="true" outlineLevel="0" collapsed="false">
      <c r="A88" s="9" t="s">
        <v>792</v>
      </c>
      <c r="B88" s="9" t="s">
        <v>435</v>
      </c>
      <c r="C88" s="9" t="s">
        <v>447</v>
      </c>
      <c r="D88" s="12" t="s">
        <v>71</v>
      </c>
      <c r="E88" s="10" t="n">
        <v>4</v>
      </c>
      <c r="F88" s="10" t="n">
        <v>100</v>
      </c>
      <c r="G88" s="9" t="s">
        <v>900</v>
      </c>
      <c r="H88" s="33" t="s">
        <v>795</v>
      </c>
      <c r="I88" s="11"/>
    </row>
    <row r="89" customFormat="false" ht="15" hidden="false" customHeight="true" outlineLevel="0" collapsed="false">
      <c r="A89" s="9" t="s">
        <v>792</v>
      </c>
      <c r="B89" s="9" t="s">
        <v>435</v>
      </c>
      <c r="C89" s="9" t="s">
        <v>451</v>
      </c>
      <c r="D89" s="12" t="s">
        <v>71</v>
      </c>
      <c r="E89" s="10" t="n">
        <v>5</v>
      </c>
      <c r="F89" s="10" t="n">
        <v>100</v>
      </c>
      <c r="G89" s="9" t="s">
        <v>901</v>
      </c>
      <c r="H89" s="33" t="s">
        <v>795</v>
      </c>
      <c r="I89" s="11"/>
    </row>
    <row r="90" customFormat="false" ht="15" hidden="false" customHeight="true" outlineLevel="0" collapsed="false">
      <c r="A90" s="9" t="s">
        <v>792</v>
      </c>
      <c r="B90" s="9" t="s">
        <v>435</v>
      </c>
      <c r="C90" s="9" t="s">
        <v>453</v>
      </c>
      <c r="D90" s="12" t="s">
        <v>71</v>
      </c>
      <c r="E90" s="10" t="n">
        <v>6</v>
      </c>
      <c r="F90" s="10" t="n">
        <v>100</v>
      </c>
      <c r="G90" s="9" t="s">
        <v>902</v>
      </c>
      <c r="H90" s="33" t="s">
        <v>795</v>
      </c>
      <c r="I90" s="11" t="s">
        <v>809</v>
      </c>
    </row>
    <row r="91" customFormat="false" ht="15" hidden="false" customHeight="true" outlineLevel="0" collapsed="false">
      <c r="A91" s="9" t="s">
        <v>792</v>
      </c>
      <c r="B91" s="9" t="s">
        <v>435</v>
      </c>
      <c r="C91" s="9" t="s">
        <v>455</v>
      </c>
      <c r="D91" s="12" t="s">
        <v>71</v>
      </c>
      <c r="E91" s="10" t="n">
        <v>7</v>
      </c>
      <c r="F91" s="10" t="n">
        <v>100</v>
      </c>
      <c r="G91" s="9" t="s">
        <v>903</v>
      </c>
      <c r="H91" s="33" t="s">
        <v>795</v>
      </c>
      <c r="I91" s="9" t="s">
        <v>125</v>
      </c>
    </row>
    <row r="92" customFormat="false" ht="15" hidden="false" customHeight="true" outlineLevel="0" collapsed="false">
      <c r="A92" s="9" t="s">
        <v>792</v>
      </c>
      <c r="B92" s="9" t="s">
        <v>435</v>
      </c>
      <c r="C92" s="9" t="s">
        <v>457</v>
      </c>
      <c r="D92" s="12" t="s">
        <v>71</v>
      </c>
      <c r="E92" s="10" t="n">
        <v>6</v>
      </c>
      <c r="F92" s="10" t="n">
        <v>150</v>
      </c>
      <c r="G92" s="9" t="s">
        <v>904</v>
      </c>
      <c r="H92" s="33" t="s">
        <v>795</v>
      </c>
      <c r="I92" s="11"/>
    </row>
    <row r="93" customFormat="false" ht="15" hidden="false" customHeight="true" outlineLevel="0" collapsed="false">
      <c r="A93" s="9" t="s">
        <v>792</v>
      </c>
      <c r="B93" s="9" t="s">
        <v>652</v>
      </c>
      <c r="C93" s="9" t="s">
        <v>498</v>
      </c>
      <c r="D93" s="12" t="s">
        <v>78</v>
      </c>
      <c r="E93" s="10" t="n">
        <v>1</v>
      </c>
      <c r="F93" s="10" t="n">
        <v>70</v>
      </c>
      <c r="G93" s="11" t="s">
        <v>905</v>
      </c>
      <c r="H93" s="13" t="s">
        <v>814</v>
      </c>
      <c r="I93" s="11"/>
    </row>
    <row r="94" customFormat="false" ht="15" hidden="false" customHeight="true" outlineLevel="0" collapsed="false">
      <c r="A94" s="9" t="s">
        <v>792</v>
      </c>
      <c r="B94" s="9" t="s">
        <v>652</v>
      </c>
      <c r="C94" s="9" t="s">
        <v>494</v>
      </c>
      <c r="D94" s="12" t="s">
        <v>78</v>
      </c>
      <c r="E94" s="10" t="n">
        <v>1</v>
      </c>
      <c r="F94" s="10" t="n">
        <v>90</v>
      </c>
      <c r="G94" s="11" t="s">
        <v>906</v>
      </c>
      <c r="H94" s="13" t="s">
        <v>814</v>
      </c>
      <c r="I94" s="11"/>
    </row>
    <row r="95" customFormat="false" ht="15" hidden="false" customHeight="true" outlineLevel="0" collapsed="false">
      <c r="A95" s="9" t="s">
        <v>792</v>
      </c>
      <c r="B95" s="9" t="s">
        <v>652</v>
      </c>
      <c r="C95" s="9" t="s">
        <v>501</v>
      </c>
      <c r="D95" s="12" t="s">
        <v>78</v>
      </c>
      <c r="E95" s="10" t="n">
        <v>3</v>
      </c>
      <c r="F95" s="10" t="n">
        <v>90</v>
      </c>
      <c r="G95" s="11" t="s">
        <v>907</v>
      </c>
      <c r="H95" s="13" t="s">
        <v>814</v>
      </c>
      <c r="I95" s="11"/>
    </row>
    <row r="96" customFormat="false" ht="15" hidden="false" customHeight="true" outlineLevel="0" collapsed="false">
      <c r="A96" s="9" t="s">
        <v>792</v>
      </c>
      <c r="B96" s="9" t="s">
        <v>652</v>
      </c>
      <c r="C96" s="9" t="s">
        <v>487</v>
      </c>
      <c r="D96" s="12" t="s">
        <v>78</v>
      </c>
      <c r="E96" s="10" t="n">
        <v>1</v>
      </c>
      <c r="F96" s="10" t="n">
        <v>90</v>
      </c>
      <c r="G96" s="11" t="s">
        <v>908</v>
      </c>
      <c r="H96" s="13" t="s">
        <v>814</v>
      </c>
      <c r="I96" s="11"/>
    </row>
    <row r="97" customFormat="false" ht="15" hidden="false" customHeight="true" outlineLevel="0" collapsed="false">
      <c r="A97" s="9" t="s">
        <v>792</v>
      </c>
      <c r="B97" s="9" t="s">
        <v>652</v>
      </c>
      <c r="C97" s="9" t="s">
        <v>492</v>
      </c>
      <c r="D97" s="12" t="s">
        <v>78</v>
      </c>
      <c r="E97" s="10" t="n">
        <v>2</v>
      </c>
      <c r="F97" s="10" t="n">
        <v>90</v>
      </c>
      <c r="G97" s="11" t="s">
        <v>909</v>
      </c>
      <c r="H97" s="18" t="s">
        <v>801</v>
      </c>
      <c r="I97" s="9" t="s">
        <v>910</v>
      </c>
    </row>
    <row r="98" customFormat="false" ht="15" hidden="false" customHeight="true" outlineLevel="0" collapsed="false">
      <c r="A98" s="9" t="s">
        <v>792</v>
      </c>
      <c r="B98" s="9" t="s">
        <v>652</v>
      </c>
      <c r="C98" s="9" t="s">
        <v>507</v>
      </c>
      <c r="D98" s="12" t="s">
        <v>78</v>
      </c>
      <c r="E98" s="10" t="n">
        <v>5</v>
      </c>
      <c r="F98" s="10" t="n">
        <v>100</v>
      </c>
      <c r="G98" s="11" t="s">
        <v>911</v>
      </c>
      <c r="H98" s="33" t="s">
        <v>795</v>
      </c>
      <c r="I98" s="11"/>
    </row>
    <row r="99" customFormat="false" ht="15" hidden="false" customHeight="true" outlineLevel="0" collapsed="false">
      <c r="A99" s="9" t="s">
        <v>792</v>
      </c>
      <c r="B99" s="9" t="s">
        <v>652</v>
      </c>
      <c r="C99" s="9" t="s">
        <v>505</v>
      </c>
      <c r="D99" s="12" t="s">
        <v>78</v>
      </c>
      <c r="E99" s="10" t="n">
        <v>3</v>
      </c>
      <c r="F99" s="10" t="n">
        <v>100</v>
      </c>
      <c r="G99" s="11" t="s">
        <v>912</v>
      </c>
      <c r="H99" s="33" t="s">
        <v>795</v>
      </c>
      <c r="I99" s="11"/>
    </row>
    <row r="100" customFormat="false" ht="15" hidden="false" customHeight="true" outlineLevel="0" collapsed="false">
      <c r="A100" s="9" t="s">
        <v>792</v>
      </c>
      <c r="B100" s="9" t="s">
        <v>652</v>
      </c>
      <c r="C100" s="9" t="s">
        <v>514</v>
      </c>
      <c r="D100" s="12" t="s">
        <v>78</v>
      </c>
      <c r="E100" s="10" t="n">
        <v>3</v>
      </c>
      <c r="F100" s="10" t="n">
        <v>100</v>
      </c>
      <c r="G100" s="11" t="s">
        <v>913</v>
      </c>
      <c r="H100" s="33" t="s">
        <v>795</v>
      </c>
      <c r="I100" s="9" t="s">
        <v>125</v>
      </c>
    </row>
    <row r="101" customFormat="false" ht="15" hidden="false" customHeight="true" outlineLevel="0" collapsed="false">
      <c r="A101" s="9" t="s">
        <v>792</v>
      </c>
      <c r="B101" s="9" t="s">
        <v>652</v>
      </c>
      <c r="C101" s="9" t="s">
        <v>509</v>
      </c>
      <c r="D101" s="12" t="s">
        <v>78</v>
      </c>
      <c r="E101" s="10" t="n">
        <v>3</v>
      </c>
      <c r="F101" s="10" t="n">
        <v>100</v>
      </c>
      <c r="G101" s="9" t="s">
        <v>914</v>
      </c>
      <c r="H101" s="33" t="s">
        <v>795</v>
      </c>
      <c r="I101" s="11" t="s">
        <v>809</v>
      </c>
    </row>
    <row r="102" customFormat="false" ht="15" hidden="false" customHeight="true" outlineLevel="0" collapsed="false">
      <c r="A102" s="9" t="s">
        <v>792</v>
      </c>
      <c r="B102" s="9" t="s">
        <v>652</v>
      </c>
      <c r="C102" s="9" t="s">
        <v>516</v>
      </c>
      <c r="D102" s="12" t="s">
        <v>78</v>
      </c>
      <c r="E102" s="10" t="n">
        <v>5</v>
      </c>
      <c r="F102" s="10" t="n">
        <v>150</v>
      </c>
      <c r="G102" s="11" t="s">
        <v>915</v>
      </c>
      <c r="H102" s="33" t="s">
        <v>795</v>
      </c>
      <c r="I102" s="11"/>
    </row>
    <row r="103" customFormat="false" ht="15" hidden="false" customHeight="true" outlineLevel="0" collapsed="false">
      <c r="A103" s="9" t="s">
        <v>792</v>
      </c>
      <c r="B103" s="9" t="s">
        <v>306</v>
      </c>
      <c r="C103" s="9" t="s">
        <v>335</v>
      </c>
      <c r="D103" s="12" t="s">
        <v>78</v>
      </c>
      <c r="E103" s="10" t="n">
        <v>1</v>
      </c>
      <c r="F103" s="10" t="n">
        <v>100</v>
      </c>
      <c r="G103" s="11" t="s">
        <v>916</v>
      </c>
      <c r="H103" s="13" t="s">
        <v>814</v>
      </c>
      <c r="I103" s="11"/>
    </row>
    <row r="104" customFormat="false" ht="15" hidden="false" customHeight="true" outlineLevel="0" collapsed="false">
      <c r="A104" s="9" t="s">
        <v>792</v>
      </c>
      <c r="B104" s="9" t="s">
        <v>306</v>
      </c>
      <c r="C104" s="9" t="s">
        <v>316</v>
      </c>
      <c r="D104" s="12" t="s">
        <v>78</v>
      </c>
      <c r="E104" s="10" t="n">
        <v>2</v>
      </c>
      <c r="F104" s="10" t="n">
        <v>100</v>
      </c>
      <c r="G104" s="11" t="s">
        <v>917</v>
      </c>
      <c r="H104" s="33" t="s">
        <v>795</v>
      </c>
      <c r="I104" s="11"/>
    </row>
    <row r="105" customFormat="false" ht="15" hidden="false" customHeight="true" outlineLevel="0" collapsed="false">
      <c r="A105" s="9" t="s">
        <v>792</v>
      </c>
      <c r="B105" s="9" t="s">
        <v>306</v>
      </c>
      <c r="C105" s="9" t="s">
        <v>325</v>
      </c>
      <c r="D105" s="12" t="s">
        <v>78</v>
      </c>
      <c r="E105" s="10" t="n">
        <v>1</v>
      </c>
      <c r="F105" s="10" t="n">
        <v>100</v>
      </c>
      <c r="G105" s="11" t="s">
        <v>918</v>
      </c>
      <c r="H105" s="33" t="s">
        <v>795</v>
      </c>
      <c r="I105" s="11"/>
    </row>
    <row r="106" customFormat="false" ht="15" hidden="false" customHeight="true" outlineLevel="0" collapsed="false">
      <c r="A106" s="9" t="s">
        <v>792</v>
      </c>
      <c r="B106" s="9" t="s">
        <v>306</v>
      </c>
      <c r="C106" s="9" t="s">
        <v>323</v>
      </c>
      <c r="D106" s="12" t="s">
        <v>78</v>
      </c>
      <c r="E106" s="10" t="n">
        <v>2</v>
      </c>
      <c r="F106" s="10" t="n">
        <v>100</v>
      </c>
      <c r="G106" s="11" t="s">
        <v>919</v>
      </c>
      <c r="H106" s="33" t="s">
        <v>795</v>
      </c>
      <c r="I106" s="11"/>
    </row>
    <row r="107" customFormat="false" ht="15" hidden="false" customHeight="true" outlineLevel="0" collapsed="false">
      <c r="A107" s="9" t="s">
        <v>792</v>
      </c>
      <c r="B107" s="9" t="s">
        <v>306</v>
      </c>
      <c r="C107" s="9" t="s">
        <v>329</v>
      </c>
      <c r="D107" s="12" t="s">
        <v>171</v>
      </c>
      <c r="E107" s="10" t="n">
        <v>3</v>
      </c>
      <c r="F107" s="10" t="n">
        <v>100</v>
      </c>
      <c r="G107" s="11" t="s">
        <v>920</v>
      </c>
      <c r="H107" s="33" t="s">
        <v>795</v>
      </c>
      <c r="I107" s="11"/>
    </row>
    <row r="108" customFormat="false" ht="15" hidden="false" customHeight="true" outlineLevel="0" collapsed="false">
      <c r="A108" s="9" t="s">
        <v>792</v>
      </c>
      <c r="B108" s="9" t="s">
        <v>306</v>
      </c>
      <c r="C108" s="9" t="s">
        <v>331</v>
      </c>
      <c r="D108" s="12" t="s">
        <v>78</v>
      </c>
      <c r="E108" s="10" t="n">
        <v>4</v>
      </c>
      <c r="F108" s="10" t="n">
        <v>100</v>
      </c>
      <c r="G108" s="11" t="s">
        <v>921</v>
      </c>
      <c r="H108" s="33" t="s">
        <v>795</v>
      </c>
      <c r="I108" s="11"/>
    </row>
    <row r="109" customFormat="false" ht="15" hidden="false" customHeight="true" outlineLevel="0" collapsed="false">
      <c r="A109" s="9" t="s">
        <v>792</v>
      </c>
      <c r="B109" s="9" t="s">
        <v>306</v>
      </c>
      <c r="C109" s="9" t="s">
        <v>581</v>
      </c>
      <c r="D109" s="12" t="s">
        <v>78</v>
      </c>
      <c r="E109" s="10" t="n">
        <v>3</v>
      </c>
      <c r="F109" s="10" t="n">
        <v>100</v>
      </c>
      <c r="G109" s="11" t="s">
        <v>922</v>
      </c>
      <c r="H109" s="18" t="s">
        <v>801</v>
      </c>
      <c r="I109" s="9" t="s">
        <v>923</v>
      </c>
    </row>
    <row r="110" customFormat="false" ht="15" hidden="false" customHeight="true" outlineLevel="0" collapsed="false">
      <c r="A110" s="9" t="s">
        <v>792</v>
      </c>
      <c r="B110" s="9" t="s">
        <v>306</v>
      </c>
      <c r="C110" s="9" t="s">
        <v>341</v>
      </c>
      <c r="D110" s="12" t="s">
        <v>171</v>
      </c>
      <c r="E110" s="10" t="n">
        <v>6</v>
      </c>
      <c r="F110" s="10" t="n">
        <v>100</v>
      </c>
      <c r="G110" s="11" t="s">
        <v>924</v>
      </c>
      <c r="H110" s="33" t="s">
        <v>795</v>
      </c>
      <c r="I110" s="11"/>
    </row>
    <row r="111" customFormat="false" ht="15" hidden="false" customHeight="true" outlineLevel="0" collapsed="false">
      <c r="A111" s="9" t="s">
        <v>792</v>
      </c>
      <c r="B111" s="9" t="s">
        <v>306</v>
      </c>
      <c r="C111" s="9" t="s">
        <v>343</v>
      </c>
      <c r="D111" s="12" t="s">
        <v>78</v>
      </c>
      <c r="E111" s="10" t="n">
        <v>7</v>
      </c>
      <c r="F111" s="10" t="n">
        <v>100</v>
      </c>
      <c r="G111" s="11" t="s">
        <v>925</v>
      </c>
      <c r="H111" s="33" t="s">
        <v>795</v>
      </c>
      <c r="I111" s="11" t="s">
        <v>809</v>
      </c>
    </row>
    <row r="112" customFormat="false" ht="15" hidden="false" customHeight="true" outlineLevel="0" collapsed="false">
      <c r="A112" s="9" t="s">
        <v>792</v>
      </c>
      <c r="B112" s="9" t="s">
        <v>306</v>
      </c>
      <c r="C112" s="9" t="s">
        <v>347</v>
      </c>
      <c r="D112" s="12" t="s">
        <v>78</v>
      </c>
      <c r="E112" s="10" t="n">
        <v>8</v>
      </c>
      <c r="F112" s="10" t="n">
        <v>100</v>
      </c>
      <c r="G112" s="11" t="s">
        <v>926</v>
      </c>
      <c r="H112" s="33" t="s">
        <v>795</v>
      </c>
      <c r="I112" s="9" t="s">
        <v>125</v>
      </c>
    </row>
    <row r="113" customFormat="false" ht="15" hidden="false" customHeight="true" outlineLevel="0" collapsed="false">
      <c r="A113" s="9" t="s">
        <v>792</v>
      </c>
      <c r="B113" s="9" t="s">
        <v>306</v>
      </c>
      <c r="C113" s="9" t="s">
        <v>349</v>
      </c>
      <c r="D113" s="12" t="s">
        <v>78</v>
      </c>
      <c r="E113" s="10" t="n">
        <v>6</v>
      </c>
      <c r="F113" s="10" t="n">
        <v>150</v>
      </c>
      <c r="G113" s="11" t="s">
        <v>927</v>
      </c>
      <c r="H113" s="33" t="s">
        <v>795</v>
      </c>
      <c r="I113" s="11"/>
    </row>
    <row r="114" customFormat="false" ht="15" hidden="false" customHeight="true" outlineLevel="0" collapsed="false">
      <c r="A114" s="9" t="s">
        <v>928</v>
      </c>
      <c r="B114" s="9" t="s">
        <v>812</v>
      </c>
      <c r="C114" s="9" t="s">
        <v>49</v>
      </c>
      <c r="D114" s="10" t="s">
        <v>70</v>
      </c>
      <c r="E114" s="10" t="s">
        <v>70</v>
      </c>
      <c r="F114" s="10" t="n">
        <v>30</v>
      </c>
      <c r="G114" s="9" t="s">
        <v>929</v>
      </c>
      <c r="H114" s="13" t="s">
        <v>814</v>
      </c>
      <c r="I114" s="11" t="s">
        <v>930</v>
      </c>
    </row>
    <row r="115" customFormat="false" ht="15" hidden="false" customHeight="true" outlineLevel="0" collapsed="false">
      <c r="A115" s="9" t="s">
        <v>928</v>
      </c>
      <c r="B115" s="9" t="s">
        <v>812</v>
      </c>
      <c r="C115" s="9" t="s">
        <v>38</v>
      </c>
      <c r="D115" s="10" t="s">
        <v>70</v>
      </c>
      <c r="E115" s="10" t="s">
        <v>70</v>
      </c>
      <c r="F115" s="10" t="n">
        <v>30</v>
      </c>
      <c r="G115" s="9" t="s">
        <v>931</v>
      </c>
      <c r="H115" s="13" t="s">
        <v>814</v>
      </c>
      <c r="I115" s="11" t="s">
        <v>932</v>
      </c>
    </row>
    <row r="116" customFormat="false" ht="15" hidden="false" customHeight="true" outlineLevel="0" collapsed="false">
      <c r="A116" s="9" t="s">
        <v>928</v>
      </c>
      <c r="B116" s="9" t="s">
        <v>812</v>
      </c>
      <c r="C116" s="9" t="s">
        <v>45</v>
      </c>
      <c r="D116" s="10" t="s">
        <v>70</v>
      </c>
      <c r="E116" s="10" t="s">
        <v>70</v>
      </c>
      <c r="F116" s="10" t="n">
        <v>40</v>
      </c>
      <c r="G116" s="9" t="s">
        <v>933</v>
      </c>
      <c r="H116" s="13" t="s">
        <v>814</v>
      </c>
      <c r="I116" s="11" t="s">
        <v>934</v>
      </c>
    </row>
    <row r="117" customFormat="false" ht="15" hidden="false" customHeight="true" outlineLevel="0" collapsed="false">
      <c r="A117" s="9" t="s">
        <v>928</v>
      </c>
      <c r="B117" s="9" t="s">
        <v>812</v>
      </c>
      <c r="C117" s="9" t="s">
        <v>935</v>
      </c>
      <c r="D117" s="10" t="s">
        <v>70</v>
      </c>
      <c r="E117" s="10" t="s">
        <v>70</v>
      </c>
      <c r="F117" s="10" t="n">
        <v>50</v>
      </c>
      <c r="G117" s="9" t="s">
        <v>936</v>
      </c>
      <c r="H117" s="13" t="s">
        <v>814</v>
      </c>
      <c r="I117" s="11" t="s">
        <v>937</v>
      </c>
    </row>
    <row r="118" customFormat="false" ht="29.25" hidden="false" customHeight="true" outlineLevel="0" collapsed="false">
      <c r="A118" s="9" t="s">
        <v>928</v>
      </c>
      <c r="B118" s="9" t="s">
        <v>812</v>
      </c>
      <c r="C118" s="9" t="s">
        <v>938</v>
      </c>
      <c r="D118" s="10" t="s">
        <v>70</v>
      </c>
      <c r="E118" s="10" t="s">
        <v>100</v>
      </c>
      <c r="F118" s="10" t="n">
        <v>80</v>
      </c>
      <c r="G118" s="9" t="s">
        <v>939</v>
      </c>
      <c r="H118" s="18" t="s">
        <v>801</v>
      </c>
      <c r="I118" s="11" t="s">
        <v>940</v>
      </c>
    </row>
    <row r="119" customFormat="false" ht="15" hidden="false" customHeight="true" outlineLevel="0" collapsed="false">
      <c r="A119" s="9" t="s">
        <v>928</v>
      </c>
      <c r="B119" s="9" t="s">
        <v>812</v>
      </c>
      <c r="C119" s="9" t="s">
        <v>69</v>
      </c>
      <c r="D119" s="10" t="s">
        <v>70</v>
      </c>
      <c r="E119" s="10" t="s">
        <v>70</v>
      </c>
      <c r="F119" s="10" t="n">
        <v>30</v>
      </c>
      <c r="G119" s="9" t="s">
        <v>941</v>
      </c>
      <c r="H119" s="33" t="s">
        <v>795</v>
      </c>
      <c r="I119" s="11" t="s">
        <v>942</v>
      </c>
    </row>
    <row r="120" customFormat="false" ht="15" hidden="false" customHeight="true" outlineLevel="0" collapsed="false">
      <c r="A120" s="9" t="s">
        <v>928</v>
      </c>
      <c r="B120" s="9" t="s">
        <v>812</v>
      </c>
      <c r="C120" s="9" t="s">
        <v>75</v>
      </c>
      <c r="D120" s="10" t="s">
        <v>70</v>
      </c>
      <c r="E120" s="10" t="s">
        <v>77</v>
      </c>
      <c r="F120" s="10" t="n">
        <v>45</v>
      </c>
      <c r="G120" s="11" t="s">
        <v>943</v>
      </c>
      <c r="H120" s="13" t="s">
        <v>814</v>
      </c>
      <c r="I120" s="11" t="s">
        <v>944</v>
      </c>
    </row>
    <row r="121" customFormat="false" ht="15" hidden="false" customHeight="true" outlineLevel="0" collapsed="false">
      <c r="A121" s="9" t="s">
        <v>928</v>
      </c>
      <c r="B121" s="9" t="s">
        <v>812</v>
      </c>
      <c r="C121" s="9" t="s">
        <v>96</v>
      </c>
      <c r="D121" s="10" t="s">
        <v>70</v>
      </c>
      <c r="E121" s="10" t="s">
        <v>70</v>
      </c>
      <c r="F121" s="10" t="n">
        <v>55</v>
      </c>
      <c r="G121" s="9" t="s">
        <v>945</v>
      </c>
      <c r="H121" s="33" t="s">
        <v>795</v>
      </c>
      <c r="I121" s="11" t="s">
        <v>946</v>
      </c>
    </row>
    <row r="122" customFormat="false" ht="15" hidden="false" customHeight="true" outlineLevel="0" collapsed="false">
      <c r="A122" s="9" t="s">
        <v>928</v>
      </c>
      <c r="B122" s="9" t="s">
        <v>812</v>
      </c>
      <c r="C122" s="9" t="s">
        <v>81</v>
      </c>
      <c r="D122" s="10" t="s">
        <v>70</v>
      </c>
      <c r="E122" s="10" t="s">
        <v>77</v>
      </c>
      <c r="F122" s="10" t="n">
        <v>40</v>
      </c>
      <c r="G122" s="9" t="s">
        <v>947</v>
      </c>
      <c r="H122" s="13" t="s">
        <v>814</v>
      </c>
      <c r="I122" s="11" t="s">
        <v>948</v>
      </c>
    </row>
    <row r="123" customFormat="false" ht="29.25" hidden="false" customHeight="true" outlineLevel="0" collapsed="false">
      <c r="A123" s="9" t="s">
        <v>928</v>
      </c>
      <c r="B123" s="9" t="s">
        <v>812</v>
      </c>
      <c r="C123" s="9" t="s">
        <v>112</v>
      </c>
      <c r="D123" s="10" t="s">
        <v>70</v>
      </c>
      <c r="E123" s="10" t="s">
        <v>109</v>
      </c>
      <c r="F123" s="10" t="n">
        <v>90</v>
      </c>
      <c r="G123" s="9" t="s">
        <v>949</v>
      </c>
      <c r="H123" s="18" t="s">
        <v>801</v>
      </c>
      <c r="I123" s="11" t="s">
        <v>950</v>
      </c>
    </row>
    <row r="124" customFormat="false" ht="15" hidden="false" customHeight="true" outlineLevel="0" collapsed="false">
      <c r="A124" s="9" t="s">
        <v>928</v>
      </c>
      <c r="B124" s="9" t="s">
        <v>230</v>
      </c>
      <c r="C124" s="9" t="s">
        <v>231</v>
      </c>
      <c r="D124" s="10" t="s">
        <v>70</v>
      </c>
      <c r="E124" s="10" t="s">
        <v>70</v>
      </c>
      <c r="F124" s="10" t="n">
        <v>35</v>
      </c>
      <c r="G124" s="9" t="s">
        <v>951</v>
      </c>
      <c r="H124" s="13" t="s">
        <v>814</v>
      </c>
      <c r="I124" s="11" t="s">
        <v>930</v>
      </c>
    </row>
    <row r="125" customFormat="false" ht="15" hidden="false" customHeight="true" outlineLevel="0" collapsed="false">
      <c r="A125" s="9" t="s">
        <v>928</v>
      </c>
      <c r="B125" s="9" t="s">
        <v>230</v>
      </c>
      <c r="C125" s="9" t="s">
        <v>952</v>
      </c>
      <c r="D125" s="10" t="s">
        <v>70</v>
      </c>
      <c r="E125" s="10" t="s">
        <v>70</v>
      </c>
      <c r="F125" s="10" t="s">
        <v>953</v>
      </c>
      <c r="G125" s="9" t="s">
        <v>954</v>
      </c>
      <c r="H125" s="18" t="s">
        <v>801</v>
      </c>
      <c r="I125" s="11" t="s">
        <v>955</v>
      </c>
    </row>
    <row r="126" customFormat="false" ht="15" hidden="false" customHeight="true" outlineLevel="0" collapsed="false">
      <c r="A126" s="9" t="s">
        <v>928</v>
      </c>
      <c r="B126" s="9" t="s">
        <v>230</v>
      </c>
      <c r="C126" s="9" t="s">
        <v>245</v>
      </c>
      <c r="D126" s="10" t="s">
        <v>70</v>
      </c>
      <c r="E126" s="10" t="s">
        <v>70</v>
      </c>
      <c r="F126" s="10" t="n">
        <v>35</v>
      </c>
      <c r="G126" s="9" t="s">
        <v>956</v>
      </c>
      <c r="H126" s="33" t="s">
        <v>795</v>
      </c>
      <c r="I126" s="11" t="s">
        <v>957</v>
      </c>
    </row>
    <row r="127" customFormat="false" ht="29.25" hidden="false" customHeight="true" outlineLevel="0" collapsed="false">
      <c r="A127" s="9" t="s">
        <v>928</v>
      </c>
      <c r="B127" s="9" t="s">
        <v>230</v>
      </c>
      <c r="C127" s="9" t="s">
        <v>242</v>
      </c>
      <c r="D127" s="10" t="s">
        <v>70</v>
      </c>
      <c r="E127" s="10" t="s">
        <v>70</v>
      </c>
      <c r="F127" s="10" t="n">
        <v>60</v>
      </c>
      <c r="G127" s="9" t="s">
        <v>958</v>
      </c>
      <c r="H127" s="18" t="s">
        <v>801</v>
      </c>
      <c r="I127" s="11" t="s">
        <v>959</v>
      </c>
    </row>
    <row r="128" customFormat="false" ht="15" hidden="false" customHeight="true" outlineLevel="0" collapsed="false">
      <c r="A128" s="9" t="s">
        <v>928</v>
      </c>
      <c r="B128" s="9" t="s">
        <v>230</v>
      </c>
      <c r="C128" s="9" t="s">
        <v>236</v>
      </c>
      <c r="D128" s="10" t="s">
        <v>70</v>
      </c>
      <c r="E128" s="10" t="s">
        <v>70</v>
      </c>
      <c r="F128" s="10" t="n">
        <v>30</v>
      </c>
      <c r="G128" s="9" t="s">
        <v>960</v>
      </c>
      <c r="H128" s="18" t="s">
        <v>801</v>
      </c>
      <c r="I128" s="11" t="s">
        <v>961</v>
      </c>
    </row>
    <row r="129" customFormat="false" ht="15" hidden="false" customHeight="true" outlineLevel="0" collapsed="false">
      <c r="A129" s="9" t="s">
        <v>928</v>
      </c>
      <c r="B129" s="9" t="s">
        <v>230</v>
      </c>
      <c r="C129" s="9" t="s">
        <v>271</v>
      </c>
      <c r="D129" s="10" t="s">
        <v>70</v>
      </c>
      <c r="E129" s="10" t="s">
        <v>100</v>
      </c>
      <c r="F129" s="10" t="n">
        <v>50</v>
      </c>
      <c r="G129" s="9" t="s">
        <v>962</v>
      </c>
      <c r="H129" s="13" t="s">
        <v>814</v>
      </c>
      <c r="I129" s="11" t="s">
        <v>963</v>
      </c>
    </row>
    <row r="130" customFormat="false" ht="15" hidden="false" customHeight="true" outlineLevel="0" collapsed="false">
      <c r="A130" s="9" t="s">
        <v>928</v>
      </c>
      <c r="B130" s="9" t="s">
        <v>230</v>
      </c>
      <c r="C130" s="9" t="s">
        <v>282</v>
      </c>
      <c r="D130" s="10" t="s">
        <v>70</v>
      </c>
      <c r="E130" s="10" t="s">
        <v>109</v>
      </c>
      <c r="F130" s="10" t="n">
        <v>80</v>
      </c>
      <c r="G130" s="9" t="s">
        <v>964</v>
      </c>
      <c r="H130" s="33" t="s">
        <v>795</v>
      </c>
      <c r="I130" s="11" t="s">
        <v>965</v>
      </c>
    </row>
    <row r="131" customFormat="false" ht="29.25" hidden="false" customHeight="true" outlineLevel="0" collapsed="false">
      <c r="A131" s="9" t="s">
        <v>928</v>
      </c>
      <c r="B131" s="9" t="s">
        <v>230</v>
      </c>
      <c r="C131" s="9" t="s">
        <v>966</v>
      </c>
      <c r="D131" s="10" t="s">
        <v>70</v>
      </c>
      <c r="E131" s="10" t="s">
        <v>77</v>
      </c>
      <c r="F131" s="10" t="n">
        <v>5</v>
      </c>
      <c r="G131" s="9" t="s">
        <v>967</v>
      </c>
      <c r="H131" s="18" t="s">
        <v>801</v>
      </c>
      <c r="I131" s="11" t="s">
        <v>968</v>
      </c>
    </row>
    <row r="132" customFormat="false" ht="29.25" hidden="false" customHeight="true" outlineLevel="0" collapsed="false">
      <c r="A132" s="9" t="s">
        <v>928</v>
      </c>
      <c r="B132" s="9" t="s">
        <v>230</v>
      </c>
      <c r="C132" s="9" t="s">
        <v>969</v>
      </c>
      <c r="D132" s="10" t="s">
        <v>70</v>
      </c>
      <c r="E132" s="10" t="s">
        <v>70</v>
      </c>
      <c r="F132" s="10" t="n">
        <v>15</v>
      </c>
      <c r="G132" s="9" t="s">
        <v>970</v>
      </c>
      <c r="H132" s="18" t="s">
        <v>801</v>
      </c>
      <c r="I132" s="11" t="s">
        <v>971</v>
      </c>
    </row>
    <row r="133" customFormat="false" ht="29.25" hidden="false" customHeight="true" outlineLevel="0" collapsed="false">
      <c r="A133" s="9" t="s">
        <v>928</v>
      </c>
      <c r="B133" s="9" t="s">
        <v>230</v>
      </c>
      <c r="C133" s="9" t="s">
        <v>284</v>
      </c>
      <c r="D133" s="10" t="s">
        <v>70</v>
      </c>
      <c r="E133" s="10" t="s">
        <v>109</v>
      </c>
      <c r="F133" s="10" t="n">
        <v>55</v>
      </c>
      <c r="G133" s="9" t="s">
        <v>972</v>
      </c>
      <c r="H133" s="33" t="s">
        <v>795</v>
      </c>
      <c r="I133" s="11" t="s">
        <v>973</v>
      </c>
    </row>
    <row r="134" customFormat="false" ht="15" hidden="false" customHeight="true" outlineLevel="0" collapsed="false">
      <c r="A134" s="9" t="s">
        <v>928</v>
      </c>
      <c r="B134" s="9" t="s">
        <v>183</v>
      </c>
      <c r="C134" s="9" t="s">
        <v>184</v>
      </c>
      <c r="D134" s="10" t="s">
        <v>70</v>
      </c>
      <c r="E134" s="10" t="s">
        <v>70</v>
      </c>
      <c r="F134" s="10" t="n">
        <v>35</v>
      </c>
      <c r="G134" s="9" t="s">
        <v>974</v>
      </c>
      <c r="H134" s="33" t="s">
        <v>795</v>
      </c>
      <c r="I134" s="11" t="s">
        <v>930</v>
      </c>
    </row>
    <row r="135" customFormat="false" ht="29.25" hidden="false" customHeight="true" outlineLevel="0" collapsed="false">
      <c r="A135" s="9" t="s">
        <v>928</v>
      </c>
      <c r="B135" s="9" t="s">
        <v>183</v>
      </c>
      <c r="C135" s="9" t="s">
        <v>975</v>
      </c>
      <c r="D135" s="10" t="s">
        <v>70</v>
      </c>
      <c r="E135" s="10" t="s">
        <v>70</v>
      </c>
      <c r="F135" s="10" t="n">
        <v>30</v>
      </c>
      <c r="G135" s="9" t="s">
        <v>976</v>
      </c>
      <c r="H135" s="18" t="s">
        <v>801</v>
      </c>
      <c r="I135" s="11" t="s">
        <v>977</v>
      </c>
    </row>
    <row r="136" customFormat="false" ht="15" hidden="false" customHeight="true" outlineLevel="0" collapsed="false">
      <c r="A136" s="9" t="s">
        <v>928</v>
      </c>
      <c r="B136" s="9" t="s">
        <v>183</v>
      </c>
      <c r="C136" s="9" t="s">
        <v>978</v>
      </c>
      <c r="D136" s="10" t="s">
        <v>70</v>
      </c>
      <c r="E136" s="10" t="s">
        <v>70</v>
      </c>
      <c r="F136" s="10" t="n">
        <v>35</v>
      </c>
      <c r="G136" s="9" t="s">
        <v>979</v>
      </c>
      <c r="H136" s="18" t="s">
        <v>801</v>
      </c>
      <c r="I136" s="11" t="s">
        <v>980</v>
      </c>
    </row>
    <row r="137" customFormat="false" ht="15" hidden="false" customHeight="true" outlineLevel="0" collapsed="false">
      <c r="A137" s="9" t="s">
        <v>928</v>
      </c>
      <c r="B137" s="9" t="s">
        <v>183</v>
      </c>
      <c r="C137" s="9" t="s">
        <v>210</v>
      </c>
      <c r="D137" s="10" t="s">
        <v>70</v>
      </c>
      <c r="E137" s="10" t="s">
        <v>211</v>
      </c>
      <c r="F137" s="10" t="n">
        <v>50</v>
      </c>
      <c r="G137" s="11" t="s">
        <v>981</v>
      </c>
      <c r="H137" s="33" t="s">
        <v>795</v>
      </c>
      <c r="I137" s="11" t="s">
        <v>982</v>
      </c>
    </row>
    <row r="138" customFormat="false" ht="15" hidden="false" customHeight="true" outlineLevel="0" collapsed="false">
      <c r="A138" s="9" t="s">
        <v>928</v>
      </c>
      <c r="B138" s="9" t="s">
        <v>183</v>
      </c>
      <c r="C138" s="9" t="s">
        <v>200</v>
      </c>
      <c r="D138" s="10" t="s">
        <v>70</v>
      </c>
      <c r="E138" s="10" t="s">
        <v>70</v>
      </c>
      <c r="F138" s="10" t="n">
        <v>45</v>
      </c>
      <c r="G138" s="9" t="s">
        <v>983</v>
      </c>
      <c r="H138" s="33" t="s">
        <v>795</v>
      </c>
      <c r="I138" s="11" t="s">
        <v>984</v>
      </c>
    </row>
    <row r="139" customFormat="false" ht="29.25" hidden="false" customHeight="true" outlineLevel="0" collapsed="false">
      <c r="A139" s="9" t="s">
        <v>928</v>
      </c>
      <c r="B139" s="9" t="s">
        <v>183</v>
      </c>
      <c r="C139" s="9" t="s">
        <v>186</v>
      </c>
      <c r="D139" s="10" t="s">
        <v>70</v>
      </c>
      <c r="E139" s="10" t="s">
        <v>70</v>
      </c>
      <c r="F139" s="10" t="n">
        <v>45</v>
      </c>
      <c r="G139" s="9" t="s">
        <v>985</v>
      </c>
      <c r="H139" s="18" t="s">
        <v>801</v>
      </c>
      <c r="I139" s="11" t="s">
        <v>986</v>
      </c>
    </row>
    <row r="140" customFormat="false" ht="15" hidden="false" customHeight="true" outlineLevel="0" collapsed="false">
      <c r="A140" s="9" t="s">
        <v>928</v>
      </c>
      <c r="B140" s="9" t="s">
        <v>183</v>
      </c>
      <c r="C140" s="9" t="s">
        <v>214</v>
      </c>
      <c r="D140" s="10" t="s">
        <v>70</v>
      </c>
      <c r="E140" s="10" t="s">
        <v>100</v>
      </c>
      <c r="F140" s="10" t="n">
        <v>60</v>
      </c>
      <c r="G140" s="9" t="s">
        <v>987</v>
      </c>
      <c r="H140" s="33" t="s">
        <v>795</v>
      </c>
      <c r="I140" s="11" t="s">
        <v>944</v>
      </c>
    </row>
    <row r="141" customFormat="false" ht="29.25" hidden="false" customHeight="true" outlineLevel="0" collapsed="false">
      <c r="A141" s="9" t="s">
        <v>928</v>
      </c>
      <c r="B141" s="9" t="s">
        <v>183</v>
      </c>
      <c r="C141" s="9" t="s">
        <v>221</v>
      </c>
      <c r="D141" s="10" t="s">
        <v>70</v>
      </c>
      <c r="E141" s="10" t="s">
        <v>70</v>
      </c>
      <c r="F141" s="10" t="n">
        <v>70</v>
      </c>
      <c r="G141" s="9" t="s">
        <v>988</v>
      </c>
      <c r="H141" s="33" t="s">
        <v>795</v>
      </c>
      <c r="I141" s="11" t="s">
        <v>989</v>
      </c>
    </row>
    <row r="142" customFormat="false" ht="15" hidden="false" customHeight="true" outlineLevel="0" collapsed="false">
      <c r="A142" s="9" t="s">
        <v>928</v>
      </c>
      <c r="B142" s="9" t="s">
        <v>183</v>
      </c>
      <c r="C142" s="9" t="s">
        <v>218</v>
      </c>
      <c r="D142" s="10" t="s">
        <v>70</v>
      </c>
      <c r="E142" s="10" t="s">
        <v>70</v>
      </c>
      <c r="F142" s="10" t="n">
        <v>55</v>
      </c>
      <c r="G142" s="9" t="s">
        <v>990</v>
      </c>
      <c r="H142" s="33" t="s">
        <v>795</v>
      </c>
      <c r="I142" s="11" t="s">
        <v>991</v>
      </c>
    </row>
    <row r="143" customFormat="false" ht="29.25" hidden="false" customHeight="true" outlineLevel="0" collapsed="false">
      <c r="A143" s="9" t="s">
        <v>928</v>
      </c>
      <c r="B143" s="9" t="s">
        <v>183</v>
      </c>
      <c r="C143" s="9" t="s">
        <v>992</v>
      </c>
      <c r="D143" s="10" t="s">
        <v>70</v>
      </c>
      <c r="E143" s="10" t="s">
        <v>109</v>
      </c>
      <c r="F143" s="10" t="n">
        <v>90</v>
      </c>
      <c r="G143" s="9" t="s">
        <v>993</v>
      </c>
      <c r="H143" s="18" t="s">
        <v>801</v>
      </c>
      <c r="I143" s="11" t="s">
        <v>994</v>
      </c>
    </row>
    <row r="144" customFormat="false" ht="15" hidden="false" customHeight="true" outlineLevel="0" collapsed="false">
      <c r="A144" s="9" t="s">
        <v>928</v>
      </c>
      <c r="B144" s="9" t="s">
        <v>394</v>
      </c>
      <c r="C144" s="9" t="s">
        <v>395</v>
      </c>
      <c r="D144" s="10" t="s">
        <v>70</v>
      </c>
      <c r="E144" s="10" t="s">
        <v>70</v>
      </c>
      <c r="F144" s="10" t="n">
        <v>30</v>
      </c>
      <c r="G144" s="9" t="s">
        <v>995</v>
      </c>
      <c r="H144" s="33" t="s">
        <v>795</v>
      </c>
      <c r="I144" s="11" t="s">
        <v>930</v>
      </c>
    </row>
    <row r="145" customFormat="false" ht="15" hidden="false" customHeight="true" outlineLevel="0" collapsed="false">
      <c r="A145" s="9" t="s">
        <v>928</v>
      </c>
      <c r="B145" s="9" t="s">
        <v>394</v>
      </c>
      <c r="C145" s="9" t="s">
        <v>401</v>
      </c>
      <c r="D145" s="10" t="s">
        <v>70</v>
      </c>
      <c r="E145" s="10" t="s">
        <v>70</v>
      </c>
      <c r="F145" s="10" t="n">
        <v>55</v>
      </c>
      <c r="G145" s="9" t="s">
        <v>996</v>
      </c>
      <c r="H145" s="33" t="s">
        <v>795</v>
      </c>
      <c r="I145" s="11" t="s">
        <v>997</v>
      </c>
    </row>
    <row r="146" customFormat="false" ht="29.25" hidden="false" customHeight="true" outlineLevel="0" collapsed="false">
      <c r="A146" s="9" t="s">
        <v>928</v>
      </c>
      <c r="B146" s="9" t="s">
        <v>394</v>
      </c>
      <c r="C146" s="9" t="s">
        <v>409</v>
      </c>
      <c r="D146" s="10" t="s">
        <v>70</v>
      </c>
      <c r="E146" s="10" t="s">
        <v>100</v>
      </c>
      <c r="F146" s="10" t="n">
        <v>60</v>
      </c>
      <c r="G146" s="9" t="s">
        <v>998</v>
      </c>
      <c r="H146" s="33" t="s">
        <v>795</v>
      </c>
      <c r="I146" s="11" t="s">
        <v>999</v>
      </c>
    </row>
    <row r="147" customFormat="false" ht="29.25" hidden="false" customHeight="true" outlineLevel="0" collapsed="false">
      <c r="A147" s="9" t="s">
        <v>928</v>
      </c>
      <c r="B147" s="9" t="s">
        <v>394</v>
      </c>
      <c r="C147" s="9" t="s">
        <v>352</v>
      </c>
      <c r="D147" s="10" t="s">
        <v>70</v>
      </c>
      <c r="E147" s="10" t="s">
        <v>77</v>
      </c>
      <c r="F147" s="10" t="n">
        <v>50</v>
      </c>
      <c r="G147" s="9" t="s">
        <v>1000</v>
      </c>
      <c r="H147" s="18" t="s">
        <v>801</v>
      </c>
      <c r="I147" s="11" t="s">
        <v>1001</v>
      </c>
    </row>
    <row r="148" customFormat="false" ht="15" hidden="false" customHeight="true" outlineLevel="0" collapsed="false">
      <c r="A148" s="9" t="s">
        <v>928</v>
      </c>
      <c r="B148" s="9" t="s">
        <v>394</v>
      </c>
      <c r="C148" s="9" t="s">
        <v>405</v>
      </c>
      <c r="D148" s="10" t="s">
        <v>70</v>
      </c>
      <c r="E148" s="10" t="s">
        <v>70</v>
      </c>
      <c r="F148" s="10" t="n">
        <v>30</v>
      </c>
      <c r="G148" s="9" t="s">
        <v>1002</v>
      </c>
      <c r="H148" s="33" t="s">
        <v>795</v>
      </c>
      <c r="I148" s="11" t="s">
        <v>1003</v>
      </c>
    </row>
    <row r="149" customFormat="false" ht="15" hidden="false" customHeight="true" outlineLevel="0" collapsed="false">
      <c r="A149" s="9" t="s">
        <v>928</v>
      </c>
      <c r="B149" s="9" t="s">
        <v>394</v>
      </c>
      <c r="C149" s="9" t="s">
        <v>419</v>
      </c>
      <c r="D149" s="10" t="s">
        <v>70</v>
      </c>
      <c r="E149" s="10" t="s">
        <v>70</v>
      </c>
      <c r="F149" s="10" t="n">
        <v>55</v>
      </c>
      <c r="G149" s="9" t="s">
        <v>1004</v>
      </c>
      <c r="H149" s="33" t="s">
        <v>795</v>
      </c>
      <c r="I149" s="11" t="s">
        <v>1005</v>
      </c>
    </row>
    <row r="150" customFormat="false" ht="15" hidden="false" customHeight="true" outlineLevel="0" collapsed="false">
      <c r="A150" s="9" t="s">
        <v>928</v>
      </c>
      <c r="B150" s="9" t="s">
        <v>394</v>
      </c>
      <c r="C150" s="9" t="s">
        <v>407</v>
      </c>
      <c r="D150" s="10" t="s">
        <v>70</v>
      </c>
      <c r="E150" s="10" t="s">
        <v>77</v>
      </c>
      <c r="F150" s="10" t="n">
        <v>40</v>
      </c>
      <c r="G150" s="9" t="s">
        <v>1006</v>
      </c>
      <c r="H150" s="33" t="s">
        <v>795</v>
      </c>
      <c r="I150" s="11" t="s">
        <v>1007</v>
      </c>
    </row>
    <row r="151" customFormat="false" ht="29.25" hidden="false" customHeight="true" outlineLevel="0" collapsed="false">
      <c r="A151" s="9" t="s">
        <v>928</v>
      </c>
      <c r="B151" s="9" t="s">
        <v>394</v>
      </c>
      <c r="C151" s="9" t="s">
        <v>421</v>
      </c>
      <c r="D151" s="10" t="s">
        <v>70</v>
      </c>
      <c r="E151" s="10" t="s">
        <v>70</v>
      </c>
      <c r="F151" s="10" t="n">
        <v>60</v>
      </c>
      <c r="G151" s="9" t="s">
        <v>1008</v>
      </c>
      <c r="H151" s="33" t="s">
        <v>795</v>
      </c>
      <c r="I151" s="11" t="s">
        <v>989</v>
      </c>
    </row>
    <row r="152" customFormat="false" ht="29.25" hidden="false" customHeight="true" outlineLevel="0" collapsed="false">
      <c r="A152" s="9" t="s">
        <v>928</v>
      </c>
      <c r="B152" s="9" t="s">
        <v>394</v>
      </c>
      <c r="C152" s="9" t="s">
        <v>423</v>
      </c>
      <c r="D152" s="10" t="s">
        <v>70</v>
      </c>
      <c r="E152" s="10" t="s">
        <v>100</v>
      </c>
      <c r="F152" s="10" t="n">
        <v>65</v>
      </c>
      <c r="G152" s="9" t="s">
        <v>1009</v>
      </c>
      <c r="H152" s="33" t="s">
        <v>795</v>
      </c>
      <c r="I152" s="11" t="s">
        <v>1010</v>
      </c>
    </row>
    <row r="153" customFormat="false" ht="15" hidden="false" customHeight="true" outlineLevel="0" collapsed="false">
      <c r="A153" s="9" t="s">
        <v>928</v>
      </c>
      <c r="B153" s="9" t="s">
        <v>394</v>
      </c>
      <c r="C153" s="9" t="s">
        <v>425</v>
      </c>
      <c r="D153" s="10" t="s">
        <v>70</v>
      </c>
      <c r="E153" s="10" t="s">
        <v>70</v>
      </c>
      <c r="F153" s="10" t="n">
        <v>60</v>
      </c>
      <c r="G153" s="9" t="s">
        <v>1011</v>
      </c>
      <c r="H153" s="33" t="s">
        <v>795</v>
      </c>
      <c r="I153" s="11" t="s">
        <v>973</v>
      </c>
    </row>
    <row r="154" customFormat="false" ht="15" hidden="false" customHeight="true" outlineLevel="0" collapsed="false">
      <c r="A154" s="9" t="s">
        <v>928</v>
      </c>
      <c r="B154" s="9" t="s">
        <v>306</v>
      </c>
      <c r="C154" s="9" t="s">
        <v>313</v>
      </c>
      <c r="D154" s="10" t="s">
        <v>70</v>
      </c>
      <c r="E154" s="10" t="s">
        <v>77</v>
      </c>
      <c r="F154" s="10" t="n">
        <v>40</v>
      </c>
      <c r="G154" s="11" t="s">
        <v>1012</v>
      </c>
      <c r="H154" s="13" t="s">
        <v>814</v>
      </c>
      <c r="I154" s="11" t="s">
        <v>1013</v>
      </c>
    </row>
    <row r="155" customFormat="false" ht="15" hidden="false" customHeight="true" outlineLevel="0" collapsed="false">
      <c r="A155" s="9" t="s">
        <v>928</v>
      </c>
      <c r="B155" s="9" t="s">
        <v>306</v>
      </c>
      <c r="C155" s="9" t="s">
        <v>318</v>
      </c>
      <c r="D155" s="10" t="s">
        <v>70</v>
      </c>
      <c r="E155" s="10" t="s">
        <v>100</v>
      </c>
      <c r="F155" s="10" t="n">
        <v>55</v>
      </c>
      <c r="G155" s="9" t="s">
        <v>1014</v>
      </c>
      <c r="H155" s="33" t="s">
        <v>795</v>
      </c>
      <c r="I155" s="11" t="s">
        <v>997</v>
      </c>
    </row>
    <row r="156" customFormat="false" ht="29.25" hidden="false" customHeight="true" outlineLevel="0" collapsed="false">
      <c r="A156" s="9" t="s">
        <v>928</v>
      </c>
      <c r="B156" s="9" t="s">
        <v>306</v>
      </c>
      <c r="C156" s="9" t="s">
        <v>307</v>
      </c>
      <c r="D156" s="10" t="s">
        <v>70</v>
      </c>
      <c r="E156" s="10" t="s">
        <v>70</v>
      </c>
      <c r="F156" s="10" t="n">
        <v>70</v>
      </c>
      <c r="G156" s="9" t="s">
        <v>1015</v>
      </c>
      <c r="H156" s="13" t="s">
        <v>814</v>
      </c>
      <c r="I156" s="11" t="s">
        <v>1016</v>
      </c>
    </row>
    <row r="157" customFormat="false" ht="29.25" hidden="false" customHeight="true" outlineLevel="0" collapsed="false">
      <c r="A157" s="9" t="s">
        <v>928</v>
      </c>
      <c r="B157" s="9" t="s">
        <v>306</v>
      </c>
      <c r="C157" s="9" t="s">
        <v>327</v>
      </c>
      <c r="D157" s="10" t="s">
        <v>70</v>
      </c>
      <c r="E157" s="10" t="s">
        <v>70</v>
      </c>
      <c r="F157" s="10" t="n">
        <v>70</v>
      </c>
      <c r="G157" s="9" t="s">
        <v>1017</v>
      </c>
      <c r="H157" s="33" t="s">
        <v>795</v>
      </c>
      <c r="I157" s="11" t="s">
        <v>1018</v>
      </c>
    </row>
    <row r="158" customFormat="false" ht="29.25" hidden="false" customHeight="true" outlineLevel="0" collapsed="false">
      <c r="A158" s="9" t="s">
        <v>928</v>
      </c>
      <c r="B158" s="9" t="s">
        <v>306</v>
      </c>
      <c r="C158" s="9" t="s">
        <v>320</v>
      </c>
      <c r="D158" s="10" t="s">
        <v>70</v>
      </c>
      <c r="E158" s="10" t="s">
        <v>70</v>
      </c>
      <c r="F158" s="10" t="n">
        <v>100</v>
      </c>
      <c r="G158" s="9" t="s">
        <v>1019</v>
      </c>
      <c r="H158" s="18" t="s">
        <v>801</v>
      </c>
      <c r="I158" s="11" t="s">
        <v>1020</v>
      </c>
    </row>
    <row r="159" customFormat="false" ht="15" hidden="false" customHeight="true" outlineLevel="0" collapsed="false">
      <c r="A159" s="9" t="s">
        <v>928</v>
      </c>
      <c r="B159" s="9" t="s">
        <v>306</v>
      </c>
      <c r="C159" s="9" t="s">
        <v>339</v>
      </c>
      <c r="D159" s="10" t="s">
        <v>70</v>
      </c>
      <c r="E159" s="10" t="s">
        <v>109</v>
      </c>
      <c r="F159" s="10" t="n">
        <v>90</v>
      </c>
      <c r="G159" s="9" t="s">
        <v>1021</v>
      </c>
      <c r="H159" s="33" t="s">
        <v>795</v>
      </c>
      <c r="I159" s="11" t="s">
        <v>1022</v>
      </c>
    </row>
    <row r="160" customFormat="false" ht="29.25" hidden="false" customHeight="true" outlineLevel="0" collapsed="false">
      <c r="A160" s="9" t="s">
        <v>928</v>
      </c>
      <c r="B160" s="9" t="s">
        <v>306</v>
      </c>
      <c r="C160" s="9" t="s">
        <v>333</v>
      </c>
      <c r="D160" s="10" t="s">
        <v>70</v>
      </c>
      <c r="E160" s="10" t="s">
        <v>77</v>
      </c>
      <c r="F160" s="10" t="n">
        <v>60</v>
      </c>
      <c r="G160" s="9" t="s">
        <v>1023</v>
      </c>
      <c r="H160" s="33" t="s">
        <v>795</v>
      </c>
      <c r="I160" s="11" t="s">
        <v>1024</v>
      </c>
    </row>
    <row r="161" customFormat="false" ht="15" hidden="false" customHeight="true" outlineLevel="0" collapsed="false">
      <c r="A161" s="9" t="s">
        <v>928</v>
      </c>
      <c r="B161" s="9" t="s">
        <v>306</v>
      </c>
      <c r="C161" s="9" t="s">
        <v>335</v>
      </c>
      <c r="D161" s="10" t="s">
        <v>70</v>
      </c>
      <c r="E161" s="10" t="s">
        <v>70</v>
      </c>
      <c r="F161" s="10" t="n">
        <v>50</v>
      </c>
      <c r="G161" s="9" t="s">
        <v>1025</v>
      </c>
      <c r="H161" s="18" t="s">
        <v>801</v>
      </c>
      <c r="I161" s="11" t="s">
        <v>1026</v>
      </c>
    </row>
    <row r="162" customFormat="false" ht="15" hidden="false" customHeight="true" outlineLevel="0" collapsed="false">
      <c r="A162" s="9" t="s">
        <v>928</v>
      </c>
      <c r="B162" s="9" t="s">
        <v>306</v>
      </c>
      <c r="C162" s="9" t="s">
        <v>345</v>
      </c>
      <c r="D162" s="10" t="s">
        <v>70</v>
      </c>
      <c r="E162" s="10" t="s">
        <v>70</v>
      </c>
      <c r="F162" s="10" t="n">
        <v>150</v>
      </c>
      <c r="G162" s="9" t="s">
        <v>1027</v>
      </c>
      <c r="H162" s="33" t="s">
        <v>795</v>
      </c>
      <c r="I162" s="11" t="s">
        <v>1028</v>
      </c>
    </row>
    <row r="163" customFormat="false" ht="15" hidden="false" customHeight="true" outlineLevel="0" collapsed="false">
      <c r="A163" s="9" t="s">
        <v>928</v>
      </c>
      <c r="B163" s="9" t="s">
        <v>306</v>
      </c>
      <c r="C163" s="9" t="s">
        <v>310</v>
      </c>
      <c r="D163" s="10" t="s">
        <v>70</v>
      </c>
      <c r="E163" s="10" t="s">
        <v>70</v>
      </c>
      <c r="F163" s="10" t="n">
        <v>55</v>
      </c>
      <c r="G163" s="9" t="s">
        <v>1029</v>
      </c>
      <c r="H163" s="13" t="s">
        <v>814</v>
      </c>
      <c r="I163" s="11" t="s">
        <v>1030</v>
      </c>
    </row>
    <row r="164" customFormat="false" ht="15" hidden="false" customHeight="true" outlineLevel="0" collapsed="false">
      <c r="A164" s="9" t="s">
        <v>928</v>
      </c>
      <c r="B164" s="9" t="s">
        <v>354</v>
      </c>
      <c r="C164" s="9" t="s">
        <v>364</v>
      </c>
      <c r="D164" s="10" t="s">
        <v>70</v>
      </c>
      <c r="E164" s="10" t="s">
        <v>70</v>
      </c>
      <c r="F164" s="10" t="n">
        <v>90</v>
      </c>
      <c r="G164" s="9" t="s">
        <v>1031</v>
      </c>
      <c r="H164" s="33" t="s">
        <v>795</v>
      </c>
      <c r="I164" s="11" t="s">
        <v>1032</v>
      </c>
    </row>
    <row r="165" customFormat="false" ht="15" hidden="false" customHeight="true" outlineLevel="0" collapsed="false">
      <c r="A165" s="9" t="s">
        <v>928</v>
      </c>
      <c r="B165" s="9" t="s">
        <v>354</v>
      </c>
      <c r="C165" s="9" t="s">
        <v>362</v>
      </c>
      <c r="D165" s="10" t="s">
        <v>70</v>
      </c>
      <c r="E165" s="10" t="s">
        <v>70</v>
      </c>
      <c r="F165" s="10" t="n">
        <v>50</v>
      </c>
      <c r="G165" s="9" t="s">
        <v>1033</v>
      </c>
      <c r="H165" s="33" t="s">
        <v>795</v>
      </c>
      <c r="I165" s="11" t="s">
        <v>997</v>
      </c>
    </row>
    <row r="166" customFormat="false" ht="15" hidden="false" customHeight="true" outlineLevel="0" collapsed="false">
      <c r="A166" s="9" t="s">
        <v>928</v>
      </c>
      <c r="B166" s="9" t="s">
        <v>354</v>
      </c>
      <c r="C166" s="9" t="s">
        <v>366</v>
      </c>
      <c r="D166" s="10" t="s">
        <v>70</v>
      </c>
      <c r="E166" s="10" t="s">
        <v>70</v>
      </c>
      <c r="F166" s="10" t="n">
        <v>60</v>
      </c>
      <c r="G166" s="9" t="s">
        <v>1034</v>
      </c>
      <c r="H166" s="33" t="s">
        <v>795</v>
      </c>
      <c r="I166" s="11" t="s">
        <v>999</v>
      </c>
    </row>
    <row r="167" customFormat="false" ht="15" hidden="false" customHeight="true" outlineLevel="0" collapsed="false">
      <c r="A167" s="9" t="s">
        <v>928</v>
      </c>
      <c r="B167" s="9" t="s">
        <v>354</v>
      </c>
      <c r="C167" s="9" t="s">
        <v>1035</v>
      </c>
      <c r="D167" s="10" t="s">
        <v>70</v>
      </c>
      <c r="E167" s="10" t="s">
        <v>70</v>
      </c>
      <c r="F167" s="10" t="n">
        <v>100</v>
      </c>
      <c r="G167" s="9" t="s">
        <v>1036</v>
      </c>
      <c r="H167" s="13" t="s">
        <v>814</v>
      </c>
      <c r="I167" s="11" t="s">
        <v>1037</v>
      </c>
    </row>
    <row r="168" customFormat="false" ht="29.25" hidden="false" customHeight="true" outlineLevel="0" collapsed="false">
      <c r="A168" s="9" t="s">
        <v>928</v>
      </c>
      <c r="B168" s="9" t="s">
        <v>354</v>
      </c>
      <c r="C168" s="9" t="s">
        <v>373</v>
      </c>
      <c r="D168" s="10" t="s">
        <v>70</v>
      </c>
      <c r="E168" s="10" t="s">
        <v>77</v>
      </c>
      <c r="F168" s="10" t="n">
        <v>65</v>
      </c>
      <c r="G168" s="9" t="s">
        <v>1038</v>
      </c>
      <c r="H168" s="33" t="s">
        <v>795</v>
      </c>
      <c r="I168" s="11" t="s">
        <v>1039</v>
      </c>
    </row>
    <row r="169" customFormat="false" ht="15" hidden="false" customHeight="true" outlineLevel="0" collapsed="false">
      <c r="A169" s="9" t="s">
        <v>928</v>
      </c>
      <c r="B169" s="9" t="s">
        <v>354</v>
      </c>
      <c r="C169" s="9" t="s">
        <v>368</v>
      </c>
      <c r="D169" s="10" t="s">
        <v>70</v>
      </c>
      <c r="E169" s="10" t="s">
        <v>70</v>
      </c>
      <c r="F169" s="10" t="n">
        <v>60</v>
      </c>
      <c r="G169" s="9" t="s">
        <v>1040</v>
      </c>
      <c r="H169" s="33" t="s">
        <v>795</v>
      </c>
      <c r="I169" s="11" t="s">
        <v>963</v>
      </c>
    </row>
    <row r="170" customFormat="false" ht="29.25" hidden="false" customHeight="true" outlineLevel="0" collapsed="false">
      <c r="A170" s="9" t="s">
        <v>928</v>
      </c>
      <c r="B170" s="9" t="s">
        <v>354</v>
      </c>
      <c r="C170" s="9" t="s">
        <v>377</v>
      </c>
      <c r="D170" s="10" t="s">
        <v>70</v>
      </c>
      <c r="E170" s="10" t="s">
        <v>70</v>
      </c>
      <c r="F170" s="10" t="n">
        <v>70</v>
      </c>
      <c r="G170" s="9" t="s">
        <v>1041</v>
      </c>
      <c r="H170" s="33" t="s">
        <v>795</v>
      </c>
      <c r="I170" s="11" t="s">
        <v>1042</v>
      </c>
    </row>
    <row r="171" customFormat="false" ht="15" hidden="false" customHeight="true" outlineLevel="0" collapsed="false">
      <c r="A171" s="9" t="s">
        <v>928</v>
      </c>
      <c r="B171" s="9" t="s">
        <v>354</v>
      </c>
      <c r="C171" s="9" t="s">
        <v>387</v>
      </c>
      <c r="D171" s="10" t="s">
        <v>70</v>
      </c>
      <c r="E171" s="10" t="s">
        <v>70</v>
      </c>
      <c r="F171" s="10" t="s">
        <v>70</v>
      </c>
      <c r="G171" s="9" t="s">
        <v>1043</v>
      </c>
      <c r="H171" s="33" t="s">
        <v>795</v>
      </c>
      <c r="I171" s="11" t="s">
        <v>1044</v>
      </c>
    </row>
    <row r="172" customFormat="false" ht="15" hidden="false" customHeight="true" outlineLevel="0" collapsed="false">
      <c r="A172" s="9" t="s">
        <v>928</v>
      </c>
      <c r="B172" s="9" t="s">
        <v>354</v>
      </c>
      <c r="C172" s="9" t="s">
        <v>389</v>
      </c>
      <c r="D172" s="10" t="s">
        <v>70</v>
      </c>
      <c r="E172" s="10" t="s">
        <v>70</v>
      </c>
      <c r="F172" s="10" t="s">
        <v>70</v>
      </c>
      <c r="G172" s="9" t="s">
        <v>1043</v>
      </c>
      <c r="H172" s="33" t="s">
        <v>795</v>
      </c>
      <c r="I172" s="11" t="s">
        <v>1045</v>
      </c>
    </row>
    <row r="175" customFormat="false" ht="15" hidden="false" customHeight="true" outlineLevel="0" collapsed="false">
      <c r="A175" s="3" t="s">
        <v>1046</v>
      </c>
    </row>
    <row r="176" customFormat="false" ht="15" hidden="false" customHeight="true" outlineLevel="0" collapsed="false">
      <c r="A176" s="34" t="s">
        <v>1047</v>
      </c>
      <c r="B176" s="34" t="n">
        <f aca="false">COUNTIF($A$2:$A$172,"ホロウ・フラグメント(2014/Vita)")</f>
        <v>112</v>
      </c>
    </row>
    <row r="177" customFormat="false" ht="15" hidden="false" customHeight="true" outlineLevel="0" collapsed="false">
      <c r="A177" s="34" t="s">
        <v>1048</v>
      </c>
      <c r="B177" s="34" t="n">
        <f aca="false">COUNTIF($A$2:$A$172,"エコーズ オブ アインクラッド(2026)")</f>
        <v>59</v>
      </c>
    </row>
    <row r="178" customFormat="false" ht="15" hidden="false" customHeight="true" outlineLevel="0" collapsed="false">
      <c r="A178" s="34" t="s">
        <v>1049</v>
      </c>
      <c r="B178" s="34" t="n">
        <f aca="false">COUNTIF($H$2:$H$172,"原作にも登場")+COUNTIF($H$2:$H$172,"原作技のアレンジ")</f>
        <v>52</v>
      </c>
    </row>
    <row r="180" customFormat="false" ht="15" hidden="false" customHeight="true" outlineLevel="0" collapsed="false">
      <c r="A180" s="35" t="s">
        <v>1050</v>
      </c>
    </row>
  </sheetData>
  <autoFilter ref="A1:I1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2026-07-15T07:25:53Z</dcterms:created>
  <dc:creator>openpyxl</dc:creator>
  <dc:description/>
  <dc:language>en-US</dc:language>
  <cp:lastModifiedBy/>
  <dcterms:modified xsi:type="dcterms:W3CDTF">2026-07-15T08:17:25Z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